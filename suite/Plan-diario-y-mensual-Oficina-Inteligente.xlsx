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59c8562d1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mensual" sheetId="1" r:id="R333d534be0004500"/>
    <x:sheet xmlns:r="http://schemas.openxmlformats.org/officeDocument/2006/relationships" name="Configuración" sheetId="2" r:id="R4da02500b4ae4c2e"/>
    <x:sheet xmlns:r="http://schemas.openxmlformats.org/officeDocument/2006/relationships" name="Control servicios" sheetId="3" r:id="R8ae1e9942b974b63"/>
    <x:sheet xmlns:r="http://schemas.openxmlformats.org/officeDocument/2006/relationships" name="Agenda diaria" sheetId="4" r:id="R66797962c3d94e85"/>
    <x:sheet xmlns:r="http://schemas.openxmlformats.org/officeDocument/2006/relationships" name="Normas y fuentes" sheetId="5" r:id="R44b6be68ed7c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%"/>
    <x:numFmt numFmtId="202" formatCode="0.0"/>
    <x:numFmt numFmtId="203" formatCode="mmmm yyyy"/>
  </x:numFmts>
  <x:fonts count="5">
    <x:font>
      <x:sz val="11"/>
      <x:name val="Carlito"/>
    </x:font>
    <x:font>
      <x:sz val="10"/>
      <x:color rgb="FF123F4D"/>
      <x:name val="Arial"/>
    </x:font>
    <x:font>
      <x:b/>
      <x:sz val="16"/>
      <x:color rgb="FF123F4D"/>
      <x:name val="Arial"/>
    </x:font>
    <x:font>
      <x:sz val="10"/>
      <x:color rgb="FF657C84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F4D"/>
      </x:patternFill>
    </x:fill>
    <x:fill>
      <x:patternFill patternType="solid">
        <x:fgColor rgb="FFF5F2E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F7946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A13E35"/>
      </x:font>
      <x:fill>
        <x:patternFill patternType="solid">
          <x:bgColor rgb="FFFBE9E7"/>
        </x:patternFill>
      </x:fill>
    </x:dxf>
    <x:dxf>
      <x:font>
        <x:color rgb="FF207258"/>
      </x:font>
      <x:fill>
        <x:patternFill patternType="solid">
          <x:bgColor rgb="FFE5F1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2d1b0967142a1" /><Relationship Type="http://schemas.openxmlformats.org/officeDocument/2006/relationships/theme" Target="/xl/theme/theme1.xml" Id="Rd4f3dfbbae104424" /><Relationship Type="http://schemas.openxmlformats.org/officeDocument/2006/relationships/sharedStrings" Target="/xl/sharedStrings.xml" Id="Rfa0680e704db468a" /><Relationship Type="http://schemas.openxmlformats.org/officeDocument/2006/relationships/worksheet" Target="/xl/worksheets/sheet1.xml" Id="R333d534be0004500" /><Relationship Type="http://schemas.openxmlformats.org/officeDocument/2006/relationships/worksheet" Target="/xl/worksheets/sheet2.xml" Id="R4da02500b4ae4c2e" /><Relationship Type="http://schemas.openxmlformats.org/officeDocument/2006/relationships/worksheet" Target="/xl/worksheets/sheet3.xml" Id="R8ae1e9942b974b63" /><Relationship Type="http://schemas.openxmlformats.org/officeDocument/2006/relationships/worksheet" Target="/xl/worksheets/sheet4.xml" Id="R66797962c3d94e85" /><Relationship Type="http://schemas.openxmlformats.org/officeDocument/2006/relationships/worksheet" Target="/xl/worksheets/sheet5.xml" Id="R44b6be68ed7c4e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F4D"/>
  </x:sheetPr>
  <x:sheetViews>
    <x:sheetView showGridLines="0" workbookViewId="0"/>
  </x:sheetViews>
  <x:sheetFormatPr defaultRowHeight="15"/>
  <x:cols>
    <x:col min="1" max="1" width="35" hidden="0" customWidth="1"/>
    <x:col min="2" max="2" width="27" hidden="0" customWidth="1"/>
    <x:col min="3" max="3" width="16" hidden="0" customWidth="1"/>
    <x:col min="4" max="4" width="22" hidden="0" customWidth="1"/>
    <x:col min="5" max="5" width="5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Operación de la Oficina Inteligente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/>
      <x:c r="B3" s="4"/>
      <x:c r="C3" s="4"/>
      <x:c r="D3" s="4"/>
      <x:c r="E3" s="4"/>
      <x:c r="F3" s="4"/>
      <x:c r="G3" s="4"/>
      <x:c r="H3" s="4"/>
    </x:row>
    <x:row r="4" ht="24" customHeight="1">
      <x:c r="A4" s="5" t="str">
        <x:v>Revisar evidencia por servicio y repetir el cierre cada mes de contrato.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24" customHeight="1">
      <x:c r="A6" s="2" t="str">
        <x:v>Cliente</x:v>
      </x:c>
      <x:c r="B6" s="2" t="str">
        <x:f>'Configuración'!B7</x:f>
        <x:v>Completar empresa</x:v>
      </x:c>
      <x:c r="C6" s="2"/>
      <x:c r="D6" s="2"/>
      <x:c r="E6" s="2"/>
      <x:c r="F6" s="2"/>
      <x:c r="G6" s="2"/>
      <x:c r="H6" s="2"/>
    </x:row>
    <x:row r="7" ht="24" customHeight="1">
      <x:c r="A7" s="2" t="str">
        <x:v>Mes de control</x:v>
      </x:c>
      <x:c r="B7" s="17" t="str">
        <x:f>CHOOSE(MONTH('Configuración'!B10),"enero","febrero","marzo","abril","mayo","junio","julio","agosto","septiembre","octubre","noviembre","diciembre")&amp;" "&amp;YEAR('Configuración'!B10)</x:f>
        <x:v>noviembre 2026</x:v>
      </x:c>
      <x:c r="C7" s="2"/>
      <x:c r="D7" s="2"/>
      <x:c r="E7" s="2"/>
      <x:c r="F7" s="2"/>
      <x:c r="G7" s="2"/>
      <x:c r="H7" s="2"/>
    </x:row>
    <x:row r="8" ht="24" customHeight="1">
      <x:c r="A8" s="2" t="str">
        <x:v>Fecha de corte</x:v>
      </x:c>
      <x:c r="B8" s="13" t="n">
        <x:f>'Configuración'!B11</x:f>
        <x:v>46305</x:v>
      </x:c>
      <x:c r="C8" s="2"/>
      <x:c r="D8" s="2"/>
      <x:c r="E8" s="2"/>
      <x:c r="F8" s="2"/>
      <x:c r="G8" s="2"/>
      <x:c r="H8" s="2"/>
    </x:row>
    <x:row r="9" ht="24" customHeight="1">
      <x:c r="A9" s="2"/>
      <x:c r="B9" s="2"/>
      <x:c r="C9" s="2"/>
      <x:c r="D9" s="2"/>
      <x:c r="E9" s="2"/>
      <x:c r="F9" s="2"/>
      <x:c r="G9" s="2"/>
      <x:c r="H9" s="2"/>
    </x:row>
    <x:row r="10" ht="34" customHeight="1">
      <x:c r="A10" s="9" t="str">
        <x:v>Indicador</x:v>
      </x:c>
      <x:c r="B10" s="9" t="str">
        <x:v>Resultado</x:v>
      </x:c>
      <x:c r="C10" s="9" t="str">
        <x:v>Unidad</x:v>
      </x:c>
      <x:c r="D10" s="9" t="str">
        <x:v>Meta propuesta</x:v>
      </x:c>
      <x:c r="E10" s="9" t="str">
        <x:v>Lectura</x:v>
      </x:c>
      <x:c r="F10" s="2"/>
      <x:c r="G10" s="2"/>
      <x:c r="H10" s="2"/>
    </x:row>
    <x:row r="11" ht="24" customHeight="1">
      <x:c r="A11" s="2" t="str">
        <x:v>Servicios activos</x:v>
      </x:c>
      <x:c r="B11" s="2" t="n">
        <x:f>COUNTIF('Control servicios'!$E$8:$E$151,"Sí")</x:f>
        <x:v>144</x:v>
      </x:c>
      <x:c r="C11" s="2" t="str">
        <x:v>servicios</x:v>
      </x:c>
      <x:c r="D11" s="2"/>
      <x:c r="E11" s="2" t="str">
        <x:v>Cartera del mes</x:v>
      </x:c>
      <x:c r="F11" s="2"/>
      <x:c r="G11" s="2"/>
      <x:c r="H11" s="2"/>
    </x:row>
    <x:row r="12" ht="24" customHeight="1">
      <x:c r="A12" s="2" t="str">
        <x:v>Completos con aceptación</x:v>
      </x:c>
      <x:c r="B12" s="2" t="n">
        <x:f>COUNTIF('Control servicios'!$N$8:$N$151,"Completo")</x:f>
        <x:v>0</x:v>
      </x:c>
      <x:c r="C12" s="2" t="str">
        <x:v>servicios</x:v>
      </x:c>
      <x:c r="D12" s="2"/>
      <x:c r="E12" s="2" t="str">
        <x:v>Resultado, evidencia y revisión</x:v>
      </x:c>
      <x:c r="F12" s="2"/>
      <x:c r="G12" s="2"/>
      <x:c r="H12" s="2"/>
    </x:row>
    <x:row r="13" ht="24" customHeight="1">
      <x:c r="A13" s="2" t="str">
        <x:v>Controlados sin novedad</x:v>
      </x:c>
      <x:c r="B13" s="2" t="n">
        <x:f>COUNTIF('Control servicios'!$N$8:$N$151,"Controlado")</x:f>
        <x:v>0</x:v>
      </x:c>
      <x:c r="C13" s="2" t="str">
        <x:v>servicios</x:v>
      </x:c>
      <x:c r="D13" s="2"/>
      <x:c r="E13" s="2" t="str">
        <x:v>Evidencia de control</x:v>
      </x:c>
      <x:c r="F13" s="2"/>
      <x:c r="G13" s="2"/>
      <x:c r="H13" s="2"/>
    </x:row>
    <x:row r="14" ht="24" customHeight="1">
      <x:c r="A14" s="2" t="str">
        <x:v>No aplica justificados</x:v>
      </x:c>
      <x:c r="B14" s="2" t="n">
        <x:f>COUNTIF('Control servicios'!$N$8:$N$151,"No aplica justificado")</x:f>
        <x:v>0</x:v>
      </x:c>
      <x:c r="C14" s="2" t="str">
        <x:v>servicios</x:v>
      </x:c>
      <x:c r="D14" s="2"/>
      <x:c r="E14" s="2" t="str">
        <x:v>Justificación validada</x:v>
      </x:c>
      <x:c r="F14" s="2"/>
      <x:c r="G14" s="2"/>
      <x:c r="H14" s="2"/>
    </x:row>
    <x:row r="15" ht="24" customHeight="1">
      <x:c r="A15" s="2" t="str">
        <x:v>Vencidos</x:v>
      </x:c>
      <x:c r="B15" s="2" t="n">
        <x:f>COUNTIF('Control servicios'!$N$8:$N$151,"Vencido")</x:f>
        <x:v>0</x:v>
      </x:c>
      <x:c r="C15" s="2" t="str">
        <x:v>servicios</x:v>
      </x:c>
      <x:c r="D15" s="2" t="n">
        <x:v>0</x:v>
      </x:c>
      <x:c r="E15" s="2" t="str">
        <x:v>Resolver o replanificar</x:v>
      </x:c>
      <x:c r="F15" s="2"/>
      <x:c r="G15" s="2"/>
      <x:c r="H15" s="2"/>
    </x:row>
    <x:row r="16" ht="24" customHeight="1">
      <x:c r="A16" s="2" t="str">
        <x:v>Cobertura del mes</x:v>
      </x:c>
      <x:c r="B16" s="18" t="n">
        <x:f>IF(B11=0,"",SUM(B12:B14)/B11)</x:f>
        <x:v>0</x:v>
      </x:c>
      <x:c r="C16" s="2" t="str">
        <x:v>%</x:v>
      </x:c>
      <x:c r="D16" s="18" t="n">
        <x:f>'Configuración'!B13</x:f>
        <x:v>1</x:v>
      </x:c>
      <x:c r="E16" s="2" t="str">
        <x:v>Solo cierres sustentados</x:v>
      </x:c>
      <x:c r="F16" s="2"/>
      <x:c r="G16" s="2"/>
      <x:c r="H16" s="2"/>
    </x:row>
    <x:row r="17" ht="24" customHeight="1">
      <x:c r="A17" s="2" t="str">
        <x:v>Horas base medidas</x:v>
      </x:c>
      <x:c r="B17" s="2" t="str">
        <x:f>IF(COUNTIFS('Control servicios'!O8:O151,"&lt;&gt;",'Control servicios'!P8:P151,"&lt;&gt;")=0,"",SUMIFS('Control servicios'!O8:O151,'Control servicios'!O8:O151,"&lt;&gt;",'Control servicios'!P8:P151,"&lt;&gt;"))</x:f>
      </x:c>
      <x:c r="C17" s="2" t="str">
        <x:v>horas</x:v>
      </x:c>
      <x:c r="D17" s="2"/>
      <x:c r="E17" s="2" t="str">
        <x:v>Solo pares con ambos tiempos</x:v>
      </x:c>
      <x:c r="F17" s="2"/>
      <x:c r="G17" s="2"/>
      <x:c r="H17" s="2"/>
    </x:row>
    <x:row r="18" ht="24" customHeight="1">
      <x:c r="A18" s="2" t="str">
        <x:v>Horas actuales medidas</x:v>
      </x:c>
      <x:c r="B18" s="2" t="str">
        <x:f>IF(COUNTIFS('Control servicios'!O8:O151,"&lt;&gt;",'Control servicios'!P8:P151,"&lt;&gt;")=0,"",SUMIFS('Control servicios'!P8:P151,'Control servicios'!O8:O151,"&lt;&gt;",'Control servicios'!P8:P151,"&lt;&gt;"))</x:f>
      </x:c>
      <x:c r="C18" s="2" t="str">
        <x:v>horas</x:v>
      </x:c>
      <x:c r="D18" s="2"/>
      <x:c r="E18" s="2" t="str">
        <x:v>Solo pares con ambos tiempos</x:v>
      </x:c>
      <x:c r="F18" s="2"/>
      <x:c r="G18" s="2"/>
      <x:c r="H18" s="2"/>
    </x:row>
    <x:row r="19" ht="24" customHeight="1">
      <x:c r="A19" s="2" t="str">
        <x:v>Ahorro de horas medido</x:v>
      </x:c>
      <x:c r="B19" s="2" t="str">
        <x:f>IF(OR(B17="",B18=""),"",B17-B18)</x:f>
      </x:c>
      <x:c r="C19" s="2" t="str">
        <x:v>horas</x:v>
      </x:c>
      <x:c r="D19" s="2"/>
      <x:c r="E19" s="2" t="str">
        <x:v>No se calcula sin tiempos</x:v>
      </x:c>
      <x:c r="F19" s="2"/>
      <x:c r="G19" s="2"/>
      <x:c r="H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  <x:row r="22" ht="24" customHeight="1">
      <x:c r="A22" s="2" t="str">
        <x:v>El cierre exige evidencia y revisión. Realizado sin aceptación permanece pendiente.</x:v>
      </x:c>
      <x:c r="B22" s="2"/>
      <x:c r="C22" s="2"/>
      <x:c r="D22" s="2"/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 t="str">
        <x:v>El éxito real se demuestra con entregables aceptados, calidad y mejora medidos en el cliente.</x:v>
      </x:c>
      <x:c r="B24" s="2"/>
      <x:c r="C24" s="2"/>
      <x:c r="D24" s="2"/>
      <x:c r="E24" s="2"/>
      <x:c r="F24" s="2"/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2" t="str">
        <x:v>Cambiar mes y fecha de corte; archivar una copia del cierre anterior antes de continuar.</x:v>
      </x:c>
      <x:c r="B26" s="2"/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8818D"/>
  </x:sheetPr>
  <x:sheetViews>
    <x:sheetView showGridLines="0" workbookViewId="0"/>
  </x:sheetViews>
  <x:sheetFormatPr defaultRowHeight="15"/>
  <x:cols>
    <x:col min="1" max="1" width="27" hidden="0" customWidth="1"/>
    <x:col min="2" max="2" width="39" hidden="0" customWidth="1"/>
    <x:col min="3" max="3" width="27" hidden="0" customWidth="1"/>
    <x:col min="4" max="4" width="53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Control del contrato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5" t="str">
        <x:v>Editar las celdas crema; fechas y metas son propuestas.</x:v>
      </x:c>
      <x:c r="B4" s="2"/>
      <x:c r="C4" s="2"/>
      <x:c r="D4" s="2"/>
    </x:row>
    <x:row r="5" ht="24" customHeight="1">
      <x:c r="A5" s="2"/>
      <x:c r="B5" s="2"/>
      <x:c r="C5" s="2"/>
      <x:c r="D5" s="2"/>
    </x:row>
    <x:row r="6" ht="34" customHeight="1">
      <x:c r="A6" s="9" t="str">
        <x:v>Parámetro</x:v>
      </x:c>
      <x:c r="B6" s="9" t="str">
        <x:v>Valor</x:v>
      </x:c>
      <x:c r="C6" s="9" t="str">
        <x:v>Unidad / criterio</x:v>
      </x:c>
      <x:c r="D6" s="9" t="str">
        <x:v>Uso</x:v>
      </x:c>
    </x:row>
    <x:row r="7" ht="24" customHeight="1">
      <x:c r="A7" s="2" t="str">
        <x:v>Cliente</x:v>
      </x:c>
      <x:c r="B7" s="10" t="str">
        <x:v>Completar empresa</x:v>
      </x:c>
      <x:c r="C7" s="2" t="str">
        <x:v>Nombre</x:v>
      </x:c>
      <x:c r="D7" s="2" t="str">
        <x:v>Identificar cliente</x:v>
      </x:c>
    </x:row>
    <x:row r="8" ht="24" customHeight="1">
      <x:c r="A8" s="2" t="str">
        <x:v>Inicio del contrato</x:v>
      </x:c>
      <x:c r="B8" s="11" t="d">
        <x:v>2026-11-01T00:00:00.000Z</x:v>
      </x:c>
      <x:c r="C8" s="2" t="str">
        <x:v>Fecha</x:v>
      </x:c>
      <x:c r="D8" s="2" t="str">
        <x:v>Propuesto: reemplazar con contrato</x:v>
      </x:c>
    </x:row>
    <x:row r="9" ht="24" customHeight="1">
      <x:c r="A9" s="2" t="str">
        <x:v>Fin del contrato</x:v>
      </x:c>
      <x:c r="B9" s="11" t="d">
        <x:v>2027-10-31T00:00:00.000Z</x:v>
      </x:c>
      <x:c r="C9" s="2" t="str">
        <x:v>Fecha</x:v>
      </x:c>
      <x:c r="D9" s="2" t="str">
        <x:v>Propuesto: reemplazar con contrato</x:v>
      </x:c>
    </x:row>
    <x:row r="10" ht="24" customHeight="1">
      <x:c r="A10" s="2" t="str">
        <x:v>Primer día del mes</x:v>
      </x:c>
      <x:c r="B10" s="11" t="d">
        <x:v>2026-11-01T00:00:00.000Z</x:v>
      </x:c>
      <x:c r="C10" s="2" t="str">
        <x:v>Fecha</x:v>
      </x:c>
      <x:c r="D10" s="2" t="str">
        <x:v>Cambiar cada mes; repetir mientras esté vigente</x:v>
      </x:c>
    </x:row>
    <x:row r="11" ht="24" customHeight="1">
      <x:c r="A11" s="2" t="str">
        <x:v>Fecha de corte</x:v>
      </x:c>
      <x:c r="B11" s="11" t="d">
        <x:v>2026-10-10T00:00:00.000Z</x:v>
      </x:c>
      <x:c r="C11" s="2" t="str">
        <x:v>Fecha</x:v>
      </x:c>
      <x:c r="D11" s="2" t="str">
        <x:v>Actualizar al revisar; evita corte cambiante</x:v>
      </x:c>
    </x:row>
    <x:row r="12" ht="24" customHeight="1">
      <x:c r="A12" s="2" t="str">
        <x:v>Puntualidad objetivo</x:v>
      </x:c>
      <x:c r="B12" s="12" t="n">
        <x:v>0.95</x:v>
      </x:c>
      <x:c r="C12" s="2" t="str">
        <x:v>%</x:v>
      </x:c>
      <x:c r="D12" s="2" t="str">
        <x:v>Meta propuesta, no resultado</x:v>
      </x:c>
    </x:row>
    <x:row r="13" ht="24" customHeight="1">
      <x:c r="A13" s="2" t="str">
        <x:v>Cobertura objetivo</x:v>
      </x:c>
      <x:c r="B13" s="12" t="n">
        <x:v>1</x:v>
      </x:c>
      <x:c r="C13" s="2" t="str">
        <x:v>%</x:v>
      </x:c>
      <x:c r="D13" s="2" t="str">
        <x:v>Meta propuesta, no resultado</x:v>
      </x:c>
    </x:row>
    <x:row r="14" ht="24" customHeight="1">
      <x:c r="A14" s="2" t="str">
        <x:v>Calidad a la primera objetivo</x:v>
      </x:c>
      <x:c r="B14" s="12" t="n">
        <x:v>0.95</x:v>
      </x:c>
      <x:c r="C14" s="2" t="str">
        <x:v>%</x:v>
      </x:c>
      <x:c r="D14" s="2" t="str">
        <x:v>Meta propuesta, no resultado</x:v>
      </x:c>
    </x:row>
    <x:row r="15" ht="24" customHeight="1">
      <x:c r="A15" s="2" t="str">
        <x:v>Zona horaria</x:v>
      </x:c>
      <x:c r="B15" s="10" t="str">
        <x:v>America/Havana</x:v>
      </x:c>
      <x:c r="C15" s="2" t="str">
        <x:v>Zona</x:v>
      </x:c>
      <x:c r="D15" s="2" t="str">
        <x:v>Hora local de la empresa</x:v>
      </x:c>
    </x:row>
    <x:row r="16" ht="24" customHeight="1">
      <x:c r="A16" s="2" t="str">
        <x:v>Días laborables</x:v>
      </x:c>
      <x:c r="B16" s="10" t="str">
        <x:v>Lunes a viernes</x:v>
      </x:c>
      <x:c r="C16" s="2" t="str">
        <x:v>Calendario propuesto</x:v>
      </x:c>
      <x:c r="D16" s="2" t="str">
        <x:v>Ajustar feriados y turnos en fecha de control</x:v>
      </x:c>
    </x:row>
    <x:row r="17" ht="24" customHeight="1">
      <x:c r="A17" s="2" t="str">
        <x:v>Prestador</x:v>
      </x:c>
      <x:c r="B17" s="10" t="str">
        <x:v>MsC. Juan E. Badillo Castillo</x:v>
      </x:c>
      <x:c r="C17" s="2" t="str">
        <x:v>Responsable comercial</x:v>
      </x:c>
      <x:c r="D17" s="2" t="str">
        <x:v>WhatsApp 56955208</x:v>
      </x:c>
    </x:row>
    <x:row r="18" ht="24" customHeight="1">
      <x:c r="A18" s="2" t="str">
        <x:v>Correo</x:v>
      </x:c>
      <x:c r="B18" s="10" t="str">
        <x:v>jbcautonomo@gmail.com</x:v>
      </x:c>
      <x:c r="C18" s="2" t="str">
        <x:v>Contacto</x:v>
      </x:c>
      <x:c r="D18" s="2" t="str">
        <x:v>Atención y propuestas</x:v>
      </x:c>
    </x:row>
    <x:row r="19" ht="24" customHeight="1">
      <x:c r="A19" s="2"/>
      <x:c r="B19" s="2"/>
      <x:c r="C19" s="2"/>
      <x:c r="D19" s="2"/>
    </x:row>
    <x:row r="20" ht="24" customHeight="1">
      <x:c r="A20" s="2"/>
      <x:c r="B20" s="2"/>
      <x:c r="C20" s="2"/>
      <x:c r="D20" s="2"/>
    </x:row>
    <x:row r="21" ht="24" customHeight="1">
      <x:c r="A21" s="2"/>
      <x:c r="B21" s="2"/>
      <x:c r="C21" s="2"/>
      <x:c r="D21" s="2"/>
    </x:row>
    <x:row r="22" ht="24" customHeight="1">
      <x:c r="A22" s="2"/>
      <x:c r="B22" s="2"/>
      <x:c r="C22" s="2"/>
      <x:c r="D22" s="2"/>
    </x:row>
    <x:row r="23" ht="24" customHeight="1">
      <x:c r="A23" s="2"/>
      <x:c r="B23" s="2"/>
      <x:c r="C23" s="2"/>
      <x:c r="D23" s="2"/>
    </x:row>
    <x:row r="24" ht="24" customHeight="1">
      <x:c r="A24" s="2"/>
      <x:c r="B24" s="2"/>
      <x:c r="C24" s="2"/>
      <x:c r="D24" s="2"/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" hidden="0" customWidth="1"/>
    <x:col min="2" max="2" width="56" hidden="0" customWidth="1"/>
    <x:col min="3" max="3" width="25" hidden="0" customWidth="1"/>
    <x:col min="4" max="4" width="18" hidden="0" customWidth="1"/>
    <x:col min="5" max="5" width="9" hidden="0" customWidth="1"/>
    <x:col min="6" max="6" width="24" hidden="0" customWidth="1"/>
    <x:col min="7" max="7" width="15" hidden="0" customWidth="1"/>
    <x:col min="8" max="8" width="16" hidden="0" customWidth="1"/>
    <x:col min="9" max="9" width="24" hidden="0" customWidth="1"/>
    <x:col min="10" max="10" width="45" hidden="0" customWidth="1"/>
    <x:col min="11" max="11" width="24" hidden="0" customWidth="1"/>
    <x:col min="12" max="12" width="19" hidden="0" customWidth="1"/>
    <x:col min="13" max="13" width="17" hidden="0" customWidth="1"/>
    <x:col min="14" max="14" width="24" hidden="0" customWidth="1"/>
    <x:col min="15" max="15" width="14" hidden="0" customWidth="1"/>
    <x:col min="16" max="16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3" t="str">
        <x:v>Control de todos los servicios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4" customHeight="1">
      <x:c r="A4" s="5" t="str">
        <x:v>144 líneas operativas. Completar evidencia y aceptación; el estado final se calcula.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34" customHeight="1">
      <x:c r="A7" s="9" t="str">
        <x:v>ID</x:v>
      </x:c>
      <x:c r="B7" s="9" t="str">
        <x:v>Servicio</x:v>
      </x:c>
      <x:c r="C7" s="9" t="str">
        <x:v>Módulo</x:v>
      </x:c>
      <x:c r="D7" s="9" t="str">
        <x:v>Frecuencia</x:v>
      </x:c>
      <x:c r="E7" s="9" t="str">
        <x:v>Activo</x:v>
      </x:c>
      <x:c r="F7" s="9" t="str">
        <x:v>Responsable</x:v>
      </x:c>
      <x:c r="G7" s="9" t="str">
        <x:v>Día propuesto</x:v>
      </x:c>
      <x:c r="H7" s="9" t="str">
        <x:v>Fecha control</x:v>
      </x:c>
      <x:c r="I7" s="9" t="str">
        <x:v>Trabajo</x:v>
      </x:c>
      <x:c r="J7" s="9" t="str">
        <x:v>Evidencia / archivo</x:v>
      </x:c>
      <x:c r="K7" s="9" t="str">
        <x:v>Revisión</x:v>
      </x:c>
      <x:c r="L7" s="9" t="str">
        <x:v>Aceptación</x:v>
      </x:c>
      <x:c r="M7" s="9" t="str">
        <x:v>Fecha resultado</x:v>
      </x:c>
      <x:c r="N7" s="9" t="str">
        <x:v>Cierre calculado</x:v>
      </x:c>
      <x:c r="O7" s="9" t="str">
        <x:v>Horas base</x:v>
      </x:c>
      <x:c r="P7" s="9" t="str">
        <x:v>Horas actuales</x:v>
      </x:c>
    </x:row>
    <x:row r="8" ht="48" customHeight="1">
      <x:c r="A8" s="2" t="n">
        <x:v>1</x:v>
      </x:c>
      <x:c r="B8" s="16" t="str">
        <x:v>Redacción de cartas y comunicaciones</x:v>
      </x:c>
      <x:c r="C8" s="2" t="str">
        <x:v>Documentos</x:v>
      </x:c>
      <x:c r="D8" s="2" t="str">
        <x:v>Bajo demanda</x:v>
      </x:c>
      <x:c r="E8" s="10" t="str">
        <x:v>Sí</x:v>
      </x:c>
      <x:c r="F8" s="10" t="str">
        <x:v>Por asignar</x:v>
      </x:c>
      <x:c r="G8" s="10" t="n">
        <x:v>1</x:v>
      </x:c>
      <x:c r="H8" s="13" t="n">
        <x:f>IF(E8="No","",IF(OR('Configuración'!$B$10&gt;'Configuración'!$B$9,EOMONTH('Configuración'!$B$10,0)&lt;'Configuración'!$B$8),"",MAX('Configuración'!$B$8,MIN('Configuración'!$B$9,WORKDAY('Configuración'!$B$10-1,G8)))))</x:f>
        <x:v>46328</x:v>
      </x:c>
      <x:c r="I8" s="10" t="str">
        <x:v>Pendiente</x:v>
      </x:c>
      <x:c r="J8" s="10" t="str"/>
      <x:c r="K8" s="10" t="str">
        <x:v>Pendiente</x:v>
      </x:c>
      <x:c r="L8" s="10" t="str">
        <x:v>Pendiente</x:v>
      </x:c>
      <x:c r="M8" s="11"/>
      <x:c r="N8" s="2" t="str">
        <x:f>IF(E8="No","Fuera de alcance",IF(H8="","Fuera del contrato",IF(AND(I8="No aplica",J8&lt;&gt;"",K8="Validada"),"No aplica justificado",IF(AND(I8="Realizado",J8&lt;&gt;"",K8="Validada",L8="Aceptado",ISNUMBER(M8)),"Completo",IF(AND(I8="Controlado sin novedad",J8&lt;&gt;"",K8="Validada",ISNUMBER(M8)),"Controlado",IF('Configuración'!$B$11&gt;H8,"Vencido","Pendiente"))))))</x:f>
        <x:v>Pendiente</x:v>
      </x:c>
      <x:c r="O8" s="15"/>
      <x:c r="P8" s="15"/>
    </x:row>
    <x:row r="9" ht="48" customHeight="1">
      <x:c r="A9" s="2" t="n">
        <x:v>2</x:v>
      </x:c>
      <x:c r="B9" s="16" t="str">
        <x:v>Elaboración de informes ejecutivos</x:v>
      </x:c>
      <x:c r="C9" s="2" t="str">
        <x:v>Documentos</x:v>
      </x:c>
      <x:c r="D9" s="2" t="str">
        <x:v>Bajo demanda</x:v>
      </x:c>
      <x:c r="E9" s="10" t="str">
        <x:v>Sí</x:v>
      </x:c>
      <x:c r="F9" s="10" t="str">
        <x:v>Por asignar</x:v>
      </x:c>
      <x:c r="G9" s="10" t="n">
        <x:v>1</x:v>
      </x:c>
      <x:c r="H9" s="13" t="n">
        <x:f>IF(E9="No","",IF(OR('Configuración'!$B$10&gt;'Configuración'!$B$9,EOMONTH('Configuración'!$B$10,0)&lt;'Configuración'!$B$8),"",MAX('Configuración'!$B$8,MIN('Configuración'!$B$9,WORKDAY('Configuración'!$B$10-1,G9)))))</x:f>
        <x:v>46328</x:v>
      </x:c>
      <x:c r="I9" s="10" t="str">
        <x:v>Pendiente</x:v>
      </x:c>
      <x:c r="J9" s="10" t="str"/>
      <x:c r="K9" s="10" t="str">
        <x:v>Pendiente</x:v>
      </x:c>
      <x:c r="L9" s="10" t="str">
        <x:v>Pendiente</x:v>
      </x:c>
      <x:c r="M9" s="11"/>
      <x:c r="N9" s="2" t="str">
        <x:f>IF(E9="No","Fuera de alcance",IF(H9="","Fuera del contrato",IF(AND(I9="No aplica",J9&lt;&gt;"",K9="Validada"),"No aplica justificado",IF(AND(I9="Realizado",J9&lt;&gt;"",K9="Validada",L9="Aceptado",ISNUMBER(M9)),"Completo",IF(AND(I9="Controlado sin novedad",J9&lt;&gt;"",K9="Validada",ISNUMBER(M9)),"Controlado",IF('Configuración'!$B$11&gt;H9,"Vencido","Pendiente"))))))</x:f>
        <x:v>Pendiente</x:v>
      </x:c>
      <x:c r="O9" s="15"/>
      <x:c r="P9" s="15"/>
    </x:row>
    <x:row r="10" ht="48" customHeight="1">
      <x:c r="A10" s="2" t="n">
        <x:v>3</x:v>
      </x:c>
      <x:c r="B10" s="16" t="str">
        <x:v>Preparación de información para reuniones; actas y certificaciones excluidas</x:v>
      </x:c>
      <x:c r="C10" s="2" t="str">
        <x:v>Documentos</x:v>
      </x:c>
      <x:c r="D10" s="2" t="str">
        <x:v>Bajo demanda</x:v>
      </x:c>
      <x:c r="E10" s="10" t="str">
        <x:v>Sí</x:v>
      </x:c>
      <x:c r="F10" s="10" t="str">
        <x:v>Por asignar</x:v>
      </x:c>
      <x:c r="G10" s="10" t="n">
        <x:v>1</x:v>
      </x:c>
      <x:c r="H10" s="13" t="n">
        <x:f>IF(E10="No","",IF(OR('Configuración'!$B$10&gt;'Configuración'!$B$9,EOMONTH('Configuración'!$B$10,0)&lt;'Configuración'!$B$8),"",MAX('Configuración'!$B$8,MIN('Configuración'!$B$9,WORKDAY('Configuración'!$B$10-1,G10)))))</x:f>
        <x:v>46328</x:v>
      </x:c>
      <x:c r="I10" s="10" t="str">
        <x:v>Pendiente</x:v>
      </x:c>
      <x:c r="J10" s="10" t="str"/>
      <x:c r="K10" s="10" t="str">
        <x:v>Pendiente</x:v>
      </x:c>
      <x:c r="L10" s="10" t="str">
        <x:v>Pendiente</x:v>
      </x:c>
      <x:c r="M10" s="11"/>
      <x:c r="N10" s="2" t="str">
        <x:f>IF(E10="No","Fuera de alcance",IF(H10="","Fuera del contrato",IF(AND(I10="No aplica",J10&lt;&gt;"",K10="Validada"),"No aplica justificado",IF(AND(I10="Realizado",J10&lt;&gt;"",K10="Validada",L10="Aceptado",ISNUMBER(M10)),"Completo",IF(AND(I10="Controlado sin novedad",J10&lt;&gt;"",K10="Validada",ISNUMBER(M10)),"Controlado",IF('Configuración'!$B$11&gt;H10,"Vencido","Pendiente"))))))</x:f>
        <x:v>Pendiente</x:v>
      </x:c>
      <x:c r="O10" s="15"/>
      <x:c r="P10" s="15"/>
    </x:row>
    <x:row r="11" ht="48" customHeight="1">
      <x:c r="A11" s="2" t="n">
        <x:v>4</x:v>
      </x:c>
      <x:c r="B11" s="16" t="str">
        <x:v>Preparación de resoluciones y decisiones internas</x:v>
      </x:c>
      <x:c r="C11" s="2" t="str">
        <x:v>Documentos</x:v>
      </x:c>
      <x:c r="D11" s="2" t="str">
        <x:v>Bajo demanda</x:v>
      </x:c>
      <x:c r="E11" s="10" t="str">
        <x:v>Sí</x:v>
      </x:c>
      <x:c r="F11" s="10" t="str">
        <x:v>Por asignar</x:v>
      </x:c>
      <x:c r="G11" s="10" t="n">
        <x:v>1</x:v>
      </x:c>
      <x:c r="H11" s="13" t="n">
        <x:f>IF(E11="No","",IF(OR('Configuración'!$B$10&gt;'Configuración'!$B$9,EOMONTH('Configuración'!$B$10,0)&lt;'Configuración'!$B$8),"",MAX('Configuración'!$B$8,MIN('Configuración'!$B$9,WORKDAY('Configuración'!$B$10-1,G11)))))</x:f>
        <x:v>46328</x:v>
      </x:c>
      <x:c r="I11" s="10" t="str">
        <x:v>Pendiente</x:v>
      </x:c>
      <x:c r="J11" s="10" t="str"/>
      <x:c r="K11" s="10" t="str">
        <x:v>Pendiente</x:v>
      </x:c>
      <x:c r="L11" s="10" t="str">
        <x:v>Pendiente</x:v>
      </x:c>
      <x:c r="M11" s="11"/>
      <x:c r="N11" s="2" t="str">
        <x:f>IF(E11="No","Fuera de alcance",IF(H11="","Fuera del contrato",IF(AND(I11="No aplica",J11&lt;&gt;"",K11="Validada"),"No aplica justificado",IF(AND(I11="Realizado",J11&lt;&gt;"",K11="Validada",L11="Aceptado",ISNUMBER(M11)),"Completo",IF(AND(I11="Controlado sin novedad",J11&lt;&gt;"",K11="Validada",ISNUMBER(M11)),"Controlado",IF('Configuración'!$B$11&gt;H11,"Vencido","Pendiente"))))))</x:f>
        <x:v>Pendiente</x:v>
      </x:c>
      <x:c r="O11" s="15"/>
      <x:c r="P11" s="15"/>
    </x:row>
    <x:row r="12" ht="48" customHeight="1">
      <x:c r="A12" s="2" t="n">
        <x:v>5</x:v>
      </x:c>
      <x:c r="B12" s="16" t="str">
        <x:v>Creación de manuales y procedimientos</x:v>
      </x:c>
      <x:c r="C12" s="2" t="str">
        <x:v>Documentos</x:v>
      </x:c>
      <x:c r="D12" s="2" t="str">
        <x:v>Bajo demanda</x:v>
      </x:c>
      <x:c r="E12" s="10" t="str">
        <x:v>Sí</x:v>
      </x:c>
      <x:c r="F12" s="10" t="str">
        <x:v>Por asignar</x:v>
      </x:c>
      <x:c r="G12" s="10" t="n">
        <x:v>1</x:v>
      </x:c>
      <x:c r="H12" s="13" t="n">
        <x:f>IF(E12="No","",IF(OR('Configuración'!$B$10&gt;'Configuración'!$B$9,EOMONTH('Configuración'!$B$10,0)&lt;'Configuración'!$B$8),"",MAX('Configuración'!$B$8,MIN('Configuración'!$B$9,WORKDAY('Configuración'!$B$10-1,G12)))))</x:f>
        <x:v>46328</x:v>
      </x:c>
      <x:c r="I12" s="10" t="str">
        <x:v>Pendiente</x:v>
      </x:c>
      <x:c r="J12" s="10" t="str"/>
      <x:c r="K12" s="10" t="str">
        <x:v>Pendiente</x:v>
      </x:c>
      <x:c r="L12" s="10" t="str">
        <x:v>Pendiente</x:v>
      </x:c>
      <x:c r="M12" s="11"/>
      <x:c r="N12" s="2" t="str">
        <x:f>IF(E12="No","Fuera de alcance",IF(H12="","Fuera del contrato",IF(AND(I12="No aplica",J12&lt;&gt;"",K12="Validada"),"No aplica justificado",IF(AND(I12="Realizado",J12&lt;&gt;"",K12="Validada",L12="Aceptado",ISNUMBER(M12)),"Completo",IF(AND(I12="Controlado sin novedad",J12&lt;&gt;"",K12="Validada",ISNUMBER(M12)),"Controlado",IF('Configuración'!$B$11&gt;H12,"Vencido","Pendiente"))))))</x:f>
        <x:v>Pendiente</x:v>
      </x:c>
      <x:c r="O12" s="15"/>
      <x:c r="P12" s="15"/>
    </x:row>
    <x:row r="13" ht="48" customHeight="1">
      <x:c r="A13" s="2" t="n">
        <x:v>6</x:v>
      </x:c>
      <x:c r="B13" s="16" t="str">
        <x:v>Actualización controlada de documentos</x:v>
      </x:c>
      <x:c r="C13" s="2" t="str">
        <x:v>Documentos</x:v>
      </x:c>
      <x:c r="D13" s="2" t="str">
        <x:v>Mensual</x:v>
      </x:c>
      <x:c r="E13" s="10" t="str">
        <x:v>Sí</x:v>
      </x:c>
      <x:c r="F13" s="10" t="str">
        <x:v>Por asignar</x:v>
      </x:c>
      <x:c r="G13" s="10" t="n">
        <x:v>1</x:v>
      </x:c>
      <x:c r="H13" s="13" t="n">
        <x:f>IF(E13="No","",IF(OR('Configuración'!$B$10&gt;'Configuración'!$B$9,EOMONTH('Configuración'!$B$10,0)&lt;'Configuración'!$B$8),"",MAX('Configuración'!$B$8,MIN('Configuración'!$B$9,WORKDAY('Configuración'!$B$10-1,G13)))))</x:f>
        <x:v>46328</x:v>
      </x:c>
      <x:c r="I13" s="10" t="str">
        <x:v>Pendiente</x:v>
      </x:c>
      <x:c r="J13" s="10" t="str"/>
      <x:c r="K13" s="10" t="str">
        <x:v>Pendiente</x:v>
      </x:c>
      <x:c r="L13" s="10" t="str">
        <x:v>Pendiente</x:v>
      </x:c>
      <x:c r="M13" s="11"/>
      <x:c r="N13" s="2" t="str">
        <x:f>IF(E13="No","Fuera de alcance",IF(H13="","Fuera del contrato",IF(AND(I13="No aplica",J13&lt;&gt;"",K13="Validada"),"No aplica justificado",IF(AND(I13="Realizado",J13&lt;&gt;"",K13="Validada",L13="Aceptado",ISNUMBER(M13)),"Completo",IF(AND(I13="Controlado sin novedad",J13&lt;&gt;"",K13="Validada",ISNUMBER(M13)),"Controlado",IF('Configuración'!$B$11&gt;H13,"Vencido","Pendiente"))))))</x:f>
        <x:v>Pendiente</x:v>
      </x:c>
      <x:c r="O13" s="15"/>
      <x:c r="P13" s="15"/>
    </x:row>
    <x:row r="14" ht="48" customHeight="1">
      <x:c r="A14" s="2" t="n">
        <x:v>7</x:v>
      </x:c>
      <x:c r="B14" s="16" t="str">
        <x:v>Revisión y actualización de procedimientos</x:v>
      </x:c>
      <x:c r="C14" s="2" t="str">
        <x:v>Documentos</x:v>
      </x:c>
      <x:c r="D14" s="2" t="str">
        <x:v>Mensual</x:v>
      </x:c>
      <x:c r="E14" s="10" t="str">
        <x:v>Sí</x:v>
      </x:c>
      <x:c r="F14" s="10" t="str">
        <x:v>Por asignar</x:v>
      </x:c>
      <x:c r="G14" s="10" t="n">
        <x:v>1</x:v>
      </x:c>
      <x:c r="H14" s="13" t="n">
        <x:f>IF(E14="No","",IF(OR('Configuración'!$B$10&gt;'Configuración'!$B$9,EOMONTH('Configuración'!$B$10,0)&lt;'Configuración'!$B$8),"",MAX('Configuración'!$B$8,MIN('Configuración'!$B$9,WORKDAY('Configuración'!$B$10-1,G14)))))</x:f>
        <x:v>46328</x:v>
      </x:c>
      <x:c r="I14" s="10" t="str">
        <x:v>Pendiente</x:v>
      </x:c>
      <x:c r="J14" s="10" t="str"/>
      <x:c r="K14" s="10" t="str">
        <x:v>Pendiente</x:v>
      </x:c>
      <x:c r="L14" s="10" t="str">
        <x:v>Pendiente</x:v>
      </x:c>
      <x:c r="M14" s="11"/>
      <x:c r="N14" s="2" t="str">
        <x:f>IF(E14="No","Fuera de alcance",IF(H14="","Fuera del contrato",IF(AND(I14="No aplica",J14&lt;&gt;"",K14="Validada"),"No aplica justificado",IF(AND(I14="Realizado",J14&lt;&gt;"",K14="Validada",L14="Aceptado",ISNUMBER(M14)),"Completo",IF(AND(I14="Controlado sin novedad",J14&lt;&gt;"",K14="Validada",ISNUMBER(M14)),"Controlado",IF('Configuración'!$B$11&gt;H14,"Vencido","Pendiente"))))))</x:f>
        <x:v>Pendiente</x:v>
      </x:c>
      <x:c r="O14" s="15"/>
      <x:c r="P14" s="15"/>
    </x:row>
    <x:row r="15" ht="48" customHeight="1">
      <x:c r="A15" s="2" t="n">
        <x:v>8</x:v>
      </x:c>
      <x:c r="B15" s="16" t="str">
        <x:v>Redacción y actualización de reglamentos internos</x:v>
      </x:c>
      <x:c r="C15" s="2" t="str">
        <x:v>Documentos</x:v>
      </x:c>
      <x:c r="D15" s="2" t="str">
        <x:v>Bajo demanda</x:v>
      </x:c>
      <x:c r="E15" s="10" t="str">
        <x:v>Sí</x:v>
      </x:c>
      <x:c r="F15" s="10" t="str">
        <x:v>Por asignar</x:v>
      </x:c>
      <x:c r="G15" s="10" t="n">
        <x:v>1</x:v>
      </x:c>
      <x:c r="H15" s="13" t="n">
        <x:f>IF(E15="No","",IF(OR('Configuración'!$B$10&gt;'Configuración'!$B$9,EOMONTH('Configuración'!$B$10,0)&lt;'Configuración'!$B$8),"",MAX('Configuración'!$B$8,MIN('Configuración'!$B$9,WORKDAY('Configuración'!$B$10-1,G15)))))</x:f>
        <x:v>46328</x:v>
      </x:c>
      <x:c r="I15" s="10" t="str">
        <x:v>Pendiente</x:v>
      </x:c>
      <x:c r="J15" s="10" t="str"/>
      <x:c r="K15" s="10" t="str">
        <x:v>Pendiente</x:v>
      </x:c>
      <x:c r="L15" s="10" t="str">
        <x:v>Pendiente</x:v>
      </x:c>
      <x:c r="M15" s="11"/>
      <x:c r="N15" s="2" t="str">
        <x:f>IF(E15="No","Fuera de alcance",IF(H15="","Fuera del contrato",IF(AND(I15="No aplica",J15&lt;&gt;"",K15="Validada"),"No aplica justificado",IF(AND(I15="Realizado",J15&lt;&gt;"",K15="Validada",L15="Aceptado",ISNUMBER(M15)),"Completo",IF(AND(I15="Controlado sin novedad",J15&lt;&gt;"",K15="Validada",ISNUMBER(M15)),"Controlado",IF('Configuración'!$B$11&gt;H15,"Vencido","Pendiente"))))))</x:f>
        <x:v>Pendiente</x:v>
      </x:c>
      <x:c r="O15" s="15"/>
      <x:c r="P15" s="15"/>
    </x:row>
    <x:row r="16" ht="48" customHeight="1">
      <x:c r="A16" s="2" t="n">
        <x:v>9</x:v>
      </x:c>
      <x:c r="B16" s="16" t="str">
        <x:v>Uniformidad de documentos empresariales</x:v>
      </x:c>
      <x:c r="C16" s="2" t="str">
        <x:v>Documentos</x:v>
      </x:c>
      <x:c r="D16" s="2" t="str">
        <x:v>Mensual</x:v>
      </x:c>
      <x:c r="E16" s="10" t="str">
        <x:v>Sí</x:v>
      </x:c>
      <x:c r="F16" s="10" t="str">
        <x:v>Por asignar</x:v>
      </x:c>
      <x:c r="G16" s="10" t="n">
        <x:v>1</x:v>
      </x:c>
      <x:c r="H16" s="13" t="n">
        <x:f>IF(E16="No","",IF(OR('Configuración'!$B$10&gt;'Configuración'!$B$9,EOMONTH('Configuración'!$B$10,0)&lt;'Configuración'!$B$8),"",MAX('Configuración'!$B$8,MIN('Configuración'!$B$9,WORKDAY('Configuración'!$B$10-1,G16)))))</x:f>
        <x:v>46328</x:v>
      </x:c>
      <x:c r="I16" s="10" t="str">
        <x:v>Pendiente</x:v>
      </x:c>
      <x:c r="J16" s="10" t="str"/>
      <x:c r="K16" s="10" t="str">
        <x:v>Pendiente</x:v>
      </x:c>
      <x:c r="L16" s="10" t="str">
        <x:v>Pendiente</x:v>
      </x:c>
      <x:c r="M16" s="11"/>
      <x:c r="N16" s="2" t="str">
        <x:f>IF(E16="No","Fuera de alcance",IF(H16="","Fuera del contrato",IF(AND(I16="No aplica",J16&lt;&gt;"",K16="Validada"),"No aplica justificado",IF(AND(I16="Realizado",J16&lt;&gt;"",K16="Validada",L16="Aceptado",ISNUMBER(M16)),"Completo",IF(AND(I16="Controlado sin novedad",J16&lt;&gt;"",K16="Validada",ISNUMBER(M16)),"Controlado",IF('Configuración'!$B$11&gt;H16,"Vencido","Pendiente"))))))</x:f>
        <x:v>Pendiente</x:v>
      </x:c>
      <x:c r="O16" s="15"/>
      <x:c r="P16" s="15"/>
    </x:row>
    <x:row r="17" ht="48" customHeight="1">
      <x:c r="A17" s="2" t="n">
        <x:v>10</x:v>
      </x:c>
      <x:c r="B17" s="16" t="str">
        <x:v>Conversión de notas en documentos formales</x:v>
      </x:c>
      <x:c r="C17" s="2" t="str">
        <x:v>Documentos</x:v>
      </x:c>
      <x:c r="D17" s="2" t="str">
        <x:v>Bajo demanda</x:v>
      </x:c>
      <x:c r="E17" s="10" t="str">
        <x:v>Sí</x:v>
      </x:c>
      <x:c r="F17" s="10" t="str">
        <x:v>Por asignar</x:v>
      </x:c>
      <x:c r="G17" s="10" t="n">
        <x:v>1</x:v>
      </x:c>
      <x:c r="H17" s="13" t="n">
        <x:f>IF(E17="No","",IF(OR('Configuración'!$B$10&gt;'Configuración'!$B$9,EOMONTH('Configuración'!$B$10,0)&lt;'Configuración'!$B$8),"",MAX('Configuración'!$B$8,MIN('Configuración'!$B$9,WORKDAY('Configuración'!$B$10-1,G17)))))</x:f>
        <x:v>46328</x:v>
      </x:c>
      <x:c r="I17" s="10" t="str">
        <x:v>Pendiente</x:v>
      </x:c>
      <x:c r="J17" s="10" t="str"/>
      <x:c r="K17" s="10" t="str">
        <x:v>Pendiente</x:v>
      </x:c>
      <x:c r="L17" s="10" t="str">
        <x:v>Pendiente</x:v>
      </x:c>
      <x:c r="M17" s="11"/>
      <x:c r="N17" s="2" t="str">
        <x:f>IF(E17="No","Fuera de alcance",IF(H17="","Fuera del contrato",IF(AND(I17="No aplica",J17&lt;&gt;"",K17="Validada"),"No aplica justificado",IF(AND(I17="Realizado",J17&lt;&gt;"",K17="Validada",L17="Aceptado",ISNUMBER(M17)),"Completo",IF(AND(I17="Controlado sin novedad",J17&lt;&gt;"",K17="Validada",ISNUMBER(M17)),"Controlado",IF('Configuración'!$B$11&gt;H17,"Vencido","Pendiente"))))))</x:f>
        <x:v>Pendiente</x:v>
      </x:c>
      <x:c r="O17" s="15"/>
      <x:c r="P17" s="15"/>
    </x:row>
    <x:row r="18" ht="48" customHeight="1">
      <x:c r="A18" s="2" t="n">
        <x:v>11</x:v>
      </x:c>
      <x:c r="B18" s="16" t="str">
        <x:v>Corrección ortográfica y gramatical</x:v>
      </x:c>
      <x:c r="C18" s="2" t="str">
        <x:v>Análisis documental</x:v>
      </x:c>
      <x:c r="D18" s="2" t="str">
        <x:v>Bajo demanda</x:v>
      </x:c>
      <x:c r="E18" s="10" t="str">
        <x:v>Sí</x:v>
      </x:c>
      <x:c r="F18" s="10" t="str">
        <x:v>Por asignar</x:v>
      </x:c>
      <x:c r="G18" s="10" t="n">
        <x:v>1</x:v>
      </x:c>
      <x:c r="H18" s="13" t="n">
        <x:f>IF(E18="No","",IF(OR('Configuración'!$B$10&gt;'Configuración'!$B$9,EOMONTH('Configuración'!$B$10,0)&lt;'Configuración'!$B$8),"",MAX('Configuración'!$B$8,MIN('Configuración'!$B$9,WORKDAY('Configuración'!$B$10-1,G18)))))</x:f>
        <x:v>46328</x:v>
      </x:c>
      <x:c r="I18" s="10" t="str">
        <x:v>Pendiente</x:v>
      </x:c>
      <x:c r="J18" s="10" t="str"/>
      <x:c r="K18" s="10" t="str">
        <x:v>Pendiente</x:v>
      </x:c>
      <x:c r="L18" s="10" t="str">
        <x:v>Pendiente</x:v>
      </x:c>
      <x:c r="M18" s="11"/>
      <x:c r="N18" s="2" t="str">
        <x:f>IF(E18="No","Fuera de alcance",IF(H18="","Fuera del contrato",IF(AND(I18="No aplica",J18&lt;&gt;"",K18="Validada"),"No aplica justificado",IF(AND(I18="Realizado",J18&lt;&gt;"",K18="Validada",L18="Aceptado",ISNUMBER(M18)),"Completo",IF(AND(I18="Controlado sin novedad",J18&lt;&gt;"",K18="Validada",ISNUMBER(M18)),"Controlado",IF('Configuración'!$B$11&gt;H18,"Vencido","Pendiente"))))))</x:f>
        <x:v>Pendiente</x:v>
      </x:c>
      <x:c r="O18" s="15"/>
      <x:c r="P18" s="15"/>
    </x:row>
    <x:row r="19" ht="48" customHeight="1">
      <x:c r="A19" s="2" t="n">
        <x:v>12</x:v>
      </x:c>
      <x:c r="B19" s="16" t="str">
        <x:v>Revisión de coherencia y consistencia</x:v>
      </x:c>
      <x:c r="C19" s="2" t="str">
        <x:v>Análisis documental</x:v>
      </x:c>
      <x:c r="D19" s="2" t="str">
        <x:v>Bajo demanda</x:v>
      </x:c>
      <x:c r="E19" s="10" t="str">
        <x:v>Sí</x:v>
      </x:c>
      <x:c r="F19" s="10" t="str">
        <x:v>Por asignar</x:v>
      </x:c>
      <x:c r="G19" s="10" t="n">
        <x:v>1</x:v>
      </x:c>
      <x:c r="H19" s="13" t="n">
        <x:f>IF(E19="No","",IF(OR('Configuración'!$B$10&gt;'Configuración'!$B$9,EOMONTH('Configuración'!$B$10,0)&lt;'Configuración'!$B$8),"",MAX('Configuración'!$B$8,MIN('Configuración'!$B$9,WORKDAY('Configuración'!$B$10-1,G19)))))</x:f>
        <x:v>46328</x:v>
      </x:c>
      <x:c r="I19" s="10" t="str">
        <x:v>Pendiente</x:v>
      </x:c>
      <x:c r="J19" s="10" t="str"/>
      <x:c r="K19" s="10" t="str">
        <x:v>Pendiente</x:v>
      </x:c>
      <x:c r="L19" s="10" t="str">
        <x:v>Pendiente</x:v>
      </x:c>
      <x:c r="M19" s="11"/>
      <x:c r="N19" s="2" t="str">
        <x:f>IF(E19="No","Fuera de alcance",IF(H19="","Fuera del contrato",IF(AND(I19="No aplica",J19&lt;&gt;"",K19="Validada"),"No aplica justificado",IF(AND(I19="Realizado",J19&lt;&gt;"",K19="Validada",L19="Aceptado",ISNUMBER(M19)),"Completo",IF(AND(I19="Controlado sin novedad",J19&lt;&gt;"",K19="Validada",ISNUMBER(M19)),"Controlado",IF('Configuración'!$B$11&gt;H19,"Vencido","Pendiente"))))))</x:f>
        <x:v>Pendiente</x:v>
      </x:c>
      <x:c r="O19" s="15"/>
      <x:c r="P19" s="15"/>
    </x:row>
    <x:row r="20" ht="48" customHeight="1">
      <x:c r="A20" s="2" t="n">
        <x:v>13</x:v>
      </x:c>
      <x:c r="B20" s="16" t="str">
        <x:v>Resumen de documentos extensos</x:v>
      </x:c>
      <x:c r="C20" s="2" t="str">
        <x:v>Análisis documental</x:v>
      </x:c>
      <x:c r="D20" s="2" t="str">
        <x:v>Bajo demanda</x:v>
      </x:c>
      <x:c r="E20" s="10" t="str">
        <x:v>Sí</x:v>
      </x:c>
      <x:c r="F20" s="10" t="str">
        <x:v>Por asignar</x:v>
      </x:c>
      <x:c r="G20" s="10" t="n">
        <x:v>1</x:v>
      </x:c>
      <x:c r="H20" s="13" t="n">
        <x:f>IF(E20="No","",IF(OR('Configuración'!$B$10&gt;'Configuración'!$B$9,EOMONTH('Configuración'!$B$10,0)&lt;'Configuración'!$B$8),"",MAX('Configuración'!$B$8,MIN('Configuración'!$B$9,WORKDAY('Configuración'!$B$10-1,G20)))))</x:f>
        <x:v>46328</x:v>
      </x:c>
      <x:c r="I20" s="10" t="str">
        <x:v>Pendiente</x:v>
      </x:c>
      <x:c r="J20" s="10" t="str"/>
      <x:c r="K20" s="10" t="str">
        <x:v>Pendiente</x:v>
      </x:c>
      <x:c r="L20" s="10" t="str">
        <x:v>Pendiente</x:v>
      </x:c>
      <x:c r="M20" s="11"/>
      <x:c r="N20" s="2" t="str">
        <x:f>IF(E20="No","Fuera de alcance",IF(H20="","Fuera del contrato",IF(AND(I20="No aplica",J20&lt;&gt;"",K20="Validada"),"No aplica justificado",IF(AND(I20="Realizado",J20&lt;&gt;"",K20="Validada",L20="Aceptado",ISNUMBER(M20)),"Completo",IF(AND(I20="Controlado sin novedad",J20&lt;&gt;"",K20="Validada",ISNUMBER(M20)),"Controlado",IF('Configuración'!$B$11&gt;H20,"Vencido","Pendiente"))))))</x:f>
        <x:v>Pendiente</x:v>
      </x:c>
      <x:c r="O20" s="15"/>
      <x:c r="P20" s="15"/>
    </x:row>
    <x:row r="21" ht="48" customHeight="1">
      <x:c r="A21" s="2" t="n">
        <x:v>14</x:v>
      </x:c>
      <x:c r="B21" s="16" t="str">
        <x:v>Comparación de versiones</x:v>
      </x:c>
      <x:c r="C21" s="2" t="str">
        <x:v>Análisis documental</x:v>
      </x:c>
      <x:c r="D21" s="2" t="str">
        <x:v>Bajo demanda</x:v>
      </x:c>
      <x:c r="E21" s="10" t="str">
        <x:v>Sí</x:v>
      </x:c>
      <x:c r="F21" s="10" t="str">
        <x:v>Por asignar</x:v>
      </x:c>
      <x:c r="G21" s="10" t="n">
        <x:v>1</x:v>
      </x:c>
      <x:c r="H21" s="13" t="n">
        <x:f>IF(E21="No","",IF(OR('Configuración'!$B$10&gt;'Configuración'!$B$9,EOMONTH('Configuración'!$B$10,0)&lt;'Configuración'!$B$8),"",MAX('Configuración'!$B$8,MIN('Configuración'!$B$9,WORKDAY('Configuración'!$B$10-1,G21)))))</x:f>
        <x:v>46328</x:v>
      </x:c>
      <x:c r="I21" s="10" t="str">
        <x:v>Pendiente</x:v>
      </x:c>
      <x:c r="J21" s="10" t="str"/>
      <x:c r="K21" s="10" t="str">
        <x:v>Pendiente</x:v>
      </x:c>
      <x:c r="L21" s="10" t="str">
        <x:v>Pendiente</x:v>
      </x:c>
      <x:c r="M21" s="11"/>
      <x:c r="N21" s="2" t="str">
        <x:f>IF(E21="No","Fuera de alcance",IF(H21="","Fuera del contrato",IF(AND(I21="No aplica",J21&lt;&gt;"",K21="Validada"),"No aplica justificado",IF(AND(I21="Realizado",J21&lt;&gt;"",K21="Validada",L21="Aceptado",ISNUMBER(M21)),"Completo",IF(AND(I21="Controlado sin novedad",J21&lt;&gt;"",K21="Validada",ISNUMBER(M21)),"Controlado",IF('Configuración'!$B$11&gt;H21,"Vencido","Pendiente"))))))</x:f>
        <x:v>Pendiente</x:v>
      </x:c>
      <x:c r="O21" s="15"/>
      <x:c r="P21" s="15"/>
    </x:row>
    <x:row r="22" ht="48" customHeight="1">
      <x:c r="A22" s="2" t="n">
        <x:v>15</x:v>
      </x:c>
      <x:c r="B22" s="16" t="str">
        <x:v>Análisis de expedientes</x:v>
      </x:c>
      <x:c r="C22" s="2" t="str">
        <x:v>Análisis documental</x:v>
      </x:c>
      <x:c r="D22" s="2" t="str">
        <x:v>Mensual</x:v>
      </x:c>
      <x:c r="E22" s="10" t="str">
        <x:v>Sí</x:v>
      </x:c>
      <x:c r="F22" s="10" t="str">
        <x:v>Por asignar</x:v>
      </x:c>
      <x:c r="G22" s="10" t="n">
        <x:v>1</x:v>
      </x:c>
      <x:c r="H22" s="13" t="n">
        <x:f>IF(E22="No","",IF(OR('Configuración'!$B$10&gt;'Configuración'!$B$9,EOMONTH('Configuración'!$B$10,0)&lt;'Configuración'!$B$8),"",MAX('Configuración'!$B$8,MIN('Configuración'!$B$9,WORKDAY('Configuración'!$B$10-1,G22)))))</x:f>
        <x:v>46328</x:v>
      </x:c>
      <x:c r="I22" s="10" t="str">
        <x:v>Pendiente</x:v>
      </x:c>
      <x:c r="J22" s="10" t="str"/>
      <x:c r="K22" s="10" t="str">
        <x:v>Pendiente</x:v>
      </x:c>
      <x:c r="L22" s="10" t="str">
        <x:v>Pendiente</x:v>
      </x:c>
      <x:c r="M22" s="11"/>
      <x:c r="N22" s="2" t="str">
        <x:f>IF(E22="No","Fuera de alcance",IF(H22="","Fuera del contrato",IF(AND(I22="No aplica",J22&lt;&gt;"",K22="Validada"),"No aplica justificado",IF(AND(I22="Realizado",J22&lt;&gt;"",K22="Validada",L22="Aceptado",ISNUMBER(M22)),"Completo",IF(AND(I22="Controlado sin novedad",J22&lt;&gt;"",K22="Validada",ISNUMBER(M22)),"Controlado",IF('Configuración'!$B$11&gt;H22,"Vencido","Pendiente"))))))</x:f>
        <x:v>Pendiente</x:v>
      </x:c>
      <x:c r="O22" s="15"/>
      <x:c r="P22" s="15"/>
    </x:row>
    <x:row r="23" ht="48" customHeight="1">
      <x:c r="A23" s="2" t="n">
        <x:v>16</x:v>
      </x:c>
      <x:c r="B23" s="16" t="str">
        <x:v>Extracción estructurada de datos</x:v>
      </x:c>
      <x:c r="C23" s="2" t="str">
        <x:v>Análisis documental</x:v>
      </x:c>
      <x:c r="D23" s="2" t="str">
        <x:v>Bajo demanda</x:v>
      </x:c>
      <x:c r="E23" s="10" t="str">
        <x:v>Sí</x:v>
      </x:c>
      <x:c r="F23" s="10" t="str">
        <x:v>Por asignar</x:v>
      </x:c>
      <x:c r="G23" s="10" t="n">
        <x:v>1</x:v>
      </x:c>
      <x:c r="H23" s="13" t="n">
        <x:f>IF(E23="No","",IF(OR('Configuración'!$B$10&gt;'Configuración'!$B$9,EOMONTH('Configuración'!$B$10,0)&lt;'Configuración'!$B$8),"",MAX('Configuración'!$B$8,MIN('Configuración'!$B$9,WORKDAY('Configuración'!$B$10-1,G23)))))</x:f>
        <x:v>46328</x:v>
      </x:c>
      <x:c r="I23" s="10" t="str">
        <x:v>Pendiente</x:v>
      </x:c>
      <x:c r="J23" s="10" t="str"/>
      <x:c r="K23" s="10" t="str">
        <x:v>Pendiente</x:v>
      </x:c>
      <x:c r="L23" s="10" t="str">
        <x:v>Pendiente</x:v>
      </x:c>
      <x:c r="M23" s="11"/>
      <x:c r="N23" s="2" t="str">
        <x:f>IF(E23="No","Fuera de alcance",IF(H23="","Fuera del contrato",IF(AND(I23="No aplica",J23&lt;&gt;"",K23="Validada"),"No aplica justificado",IF(AND(I23="Realizado",J23&lt;&gt;"",K23="Validada",L23="Aceptado",ISNUMBER(M23)),"Completo",IF(AND(I23="Controlado sin novedad",J23&lt;&gt;"",K23="Validada",ISNUMBER(M23)),"Controlado",IF('Configuración'!$B$11&gt;H23,"Vencido","Pendiente"))))))</x:f>
        <x:v>Pendiente</x:v>
      </x:c>
      <x:c r="O23" s="15"/>
      <x:c r="P23" s="15"/>
    </x:row>
    <x:row r="24" ht="48" customHeight="1">
      <x:c r="A24" s="2" t="n">
        <x:v>17</x:v>
      </x:c>
      <x:c r="B24" s="16" t="str">
        <x:v>Preparación de juntas directivas</x:v>
      </x:c>
      <x:c r="C24" s="2" t="str">
        <x:v>Reuniones y acuerdos</x:v>
      </x:c>
      <x:c r="D24" s="2" t="str">
        <x:v>Bajo demanda</x:v>
      </x:c>
      <x:c r="E24" s="10" t="str">
        <x:v>Sí</x:v>
      </x:c>
      <x:c r="F24" s="10" t="str">
        <x:v>Por asignar</x:v>
      </x:c>
      <x:c r="G24" s="10" t="n">
        <x:v>20</x:v>
      </x:c>
      <x:c r="H24" s="13" t="n">
        <x:f>IF(E24="No","",IF(OR('Configuración'!$B$10&gt;'Configuración'!$B$9,EOMONTH('Configuración'!$B$10,0)&lt;'Configuración'!$B$8),"",MAX('Configuración'!$B$8,MIN('Configuración'!$B$9,WORKDAY('Configuración'!$B$10-1,G24)))))</x:f>
        <x:v>46353</x:v>
      </x:c>
      <x:c r="I24" s="10" t="str">
        <x:v>Pendiente</x:v>
      </x:c>
      <x:c r="J24" s="10" t="str"/>
      <x:c r="K24" s="10" t="str">
        <x:v>Pendiente</x:v>
      </x:c>
      <x:c r="L24" s="10" t="str">
        <x:v>Pendiente</x:v>
      </x:c>
      <x:c r="M24" s="11"/>
      <x:c r="N24" s="2" t="str">
        <x:f>IF(E24="No","Fuera de alcance",IF(H24="","Fuera del contrato",IF(AND(I24="No aplica",J24&lt;&gt;"",K24="Validada"),"No aplica justificado",IF(AND(I24="Realizado",J24&lt;&gt;"",K24="Validada",L24="Aceptado",ISNUMBER(M24)),"Completo",IF(AND(I24="Controlado sin novedad",J24&lt;&gt;"",K24="Validada",ISNUMBER(M24)),"Controlado",IF('Configuración'!$B$11&gt;H24,"Vencido","Pendiente"))))))</x:f>
        <x:v>Pendiente</x:v>
      </x:c>
      <x:c r="O24" s="15"/>
      <x:c r="P24" s="15"/>
    </x:row>
    <x:row r="25" ht="48" customHeight="1">
      <x:c r="A25" s="2" t="n">
        <x:v>18</x:v>
      </x:c>
      <x:c r="B25" s="16" t="str">
        <x:v>Agenda y matriz de tareas; minutas y actas excluidas</x:v>
      </x:c>
      <x:c r="C25" s="2" t="str">
        <x:v>Reuniones y acuerdos</x:v>
      </x:c>
      <x:c r="D25" s="2" t="str">
        <x:v>Bajo demanda</x:v>
      </x:c>
      <x:c r="E25" s="10" t="str">
        <x:v>Sí</x:v>
      </x:c>
      <x:c r="F25" s="10" t="str">
        <x:v>Por asignar</x:v>
      </x:c>
      <x:c r="G25" s="10" t="n">
        <x:v>20</x:v>
      </x:c>
      <x:c r="H25" s="13" t="n">
        <x:f>IF(E25="No","",IF(OR('Configuración'!$B$10&gt;'Configuración'!$B$9,EOMONTH('Configuración'!$B$10,0)&lt;'Configuración'!$B$8),"",MAX('Configuración'!$B$8,MIN('Configuración'!$B$9,WORKDAY('Configuración'!$B$10-1,G25)))))</x:f>
        <x:v>46353</x:v>
      </x:c>
      <x:c r="I25" s="10" t="str">
        <x:v>Pendiente</x:v>
      </x:c>
      <x:c r="J25" s="10" t="str"/>
      <x:c r="K25" s="10" t="str">
        <x:v>Pendiente</x:v>
      </x:c>
      <x:c r="L25" s="10" t="str">
        <x:v>Pendiente</x:v>
      </x:c>
      <x:c r="M25" s="11"/>
      <x:c r="N25" s="2" t="str">
        <x:f>IF(E25="No","Fuera de alcance",IF(H25="","Fuera del contrato",IF(AND(I25="No aplica",J25&lt;&gt;"",K25="Validada"),"No aplica justificado",IF(AND(I25="Realizado",J25&lt;&gt;"",K25="Validada",L25="Aceptado",ISNUMBER(M25)),"Completo",IF(AND(I25="Controlado sin novedad",J25&lt;&gt;"",K25="Validada",ISNUMBER(M25)),"Controlado",IF('Configuración'!$B$11&gt;H25,"Vencido","Pendiente"))))))</x:f>
        <x:v>Pendiente</x:v>
      </x:c>
      <x:c r="O25" s="15"/>
      <x:c r="P25" s="15"/>
    </x:row>
    <x:row r="26" ht="48" customHeight="1">
      <x:c r="A26" s="2" t="n">
        <x:v>19</x:v>
      </x:c>
      <x:c r="B26" s="16" t="str">
        <x:v>Seguimiento de acuerdos</x:v>
      </x:c>
      <x:c r="C26" s="2" t="str">
        <x:v>Reuniones y acuerdos</x:v>
      </x:c>
      <x:c r="D26" s="2" t="str">
        <x:v>Diaria</x:v>
      </x:c>
      <x:c r="E26" s="10" t="str">
        <x:v>Sí</x:v>
      </x:c>
      <x:c r="F26" s="10" t="str">
        <x:v>Por asignar</x:v>
      </x:c>
      <x:c r="G26" s="10" t="n">
        <x:v>20</x:v>
      </x:c>
      <x:c r="H26" s="13" t="n">
        <x:f>IF(E26="No","",IF(OR('Configuración'!$B$10&gt;'Configuración'!$B$9,EOMONTH('Configuración'!$B$10,0)&lt;'Configuración'!$B$8),"",MAX('Configuración'!$B$8,MIN('Configuración'!$B$9,WORKDAY('Configuración'!$B$10-1,G26)))))</x:f>
        <x:v>46353</x:v>
      </x:c>
      <x:c r="I26" s="10" t="str">
        <x:v>Pendiente</x:v>
      </x:c>
      <x:c r="J26" s="10" t="str"/>
      <x:c r="K26" s="10" t="str">
        <x:v>Pendiente</x:v>
      </x:c>
      <x:c r="L26" s="10" t="str">
        <x:v>Pendiente</x:v>
      </x:c>
      <x:c r="M26" s="11"/>
      <x:c r="N26" s="2" t="str">
        <x:f>IF(E26="No","Fuera de alcance",IF(H26="","Fuera del contrato",IF(AND(I26="No aplica",J26&lt;&gt;"",K26="Validada"),"No aplica justificado",IF(AND(I26="Realizado",J26&lt;&gt;"",K26="Validada",L26="Aceptado",ISNUMBER(M26)),"Completo",IF(AND(I26="Controlado sin novedad",J26&lt;&gt;"",K26="Validada",ISNUMBER(M26)),"Controlado",IF('Configuración'!$B$11&gt;H26,"Vencido","Pendiente"))))))</x:f>
        <x:v>Pendiente</x:v>
      </x:c>
      <x:c r="O26" s="15"/>
      <x:c r="P26" s="15"/>
    </x:row>
    <x:row r="27" ht="48" customHeight="1">
      <x:c r="A27" s="2" t="n">
        <x:v>20</x:v>
      </x:c>
      <x:c r="B27" s="16" t="str">
        <x:v>Informe de cumplimiento de acuerdos</x:v>
      </x:c>
      <x:c r="C27" s="2" t="str">
        <x:v>Reuniones y acuerdos</x:v>
      </x:c>
      <x:c r="D27" s="2" t="str">
        <x:v>Diaria</x:v>
      </x:c>
      <x:c r="E27" s="10" t="str">
        <x:v>Sí</x:v>
      </x:c>
      <x:c r="F27" s="10" t="str">
        <x:v>Por asignar</x:v>
      </x:c>
      <x:c r="G27" s="10" t="n">
        <x:v>20</x:v>
      </x:c>
      <x:c r="H27" s="13" t="n">
        <x:f>IF(E27="No","",IF(OR('Configuración'!$B$10&gt;'Configuración'!$B$9,EOMONTH('Configuración'!$B$10,0)&lt;'Configuración'!$B$8),"",MAX('Configuración'!$B$8,MIN('Configuración'!$B$9,WORKDAY('Configuración'!$B$10-1,G27)))))</x:f>
        <x:v>46353</x:v>
      </x:c>
      <x:c r="I27" s="10" t="str">
        <x:v>Pendiente</x:v>
      </x:c>
      <x:c r="J27" s="10" t="str"/>
      <x:c r="K27" s="10" t="str">
        <x:v>Pendiente</x:v>
      </x:c>
      <x:c r="L27" s="10" t="str">
        <x:v>Pendiente</x:v>
      </x:c>
      <x:c r="M27" s="11"/>
      <x:c r="N27" s="2" t="str">
        <x:f>IF(E27="No","Fuera de alcance",IF(H27="","Fuera del contrato",IF(AND(I27="No aplica",J27&lt;&gt;"",K27="Validada"),"No aplica justificado",IF(AND(I27="Realizado",J27&lt;&gt;"",K27="Validada",L27="Aceptado",ISNUMBER(M27)),"Completo",IF(AND(I27="Controlado sin novedad",J27&lt;&gt;"",K27="Validada",ISNUMBER(M27)),"Controlado",IF('Configuración'!$B$11&gt;H27,"Vencido","Pendiente"))))))</x:f>
        <x:v>Pendiente</x:v>
      </x:c>
      <x:c r="O27" s="15"/>
      <x:c r="P27" s="15"/>
    </x:row>
    <x:row r="28" ht="48" customHeight="1">
      <x:c r="A28" s="2" t="n">
        <x:v>21</x:v>
      </x:c>
      <x:c r="B28" s="16" t="str">
        <x:v>Preparación de reuniones de cierre</x:v>
      </x:c>
      <x:c r="C28" s="2" t="str">
        <x:v>Reuniones y acuerdos</x:v>
      </x:c>
      <x:c r="D28" s="2" t="str">
        <x:v>Bajo demanda</x:v>
      </x:c>
      <x:c r="E28" s="10" t="str">
        <x:v>Sí</x:v>
      </x:c>
      <x:c r="F28" s="10" t="str">
        <x:v>Por asignar</x:v>
      </x:c>
      <x:c r="G28" s="10" t="n">
        <x:v>20</x:v>
      </x:c>
      <x:c r="H28" s="13" t="n">
        <x:f>IF(E28="No","",IF(OR('Configuración'!$B$10&gt;'Configuración'!$B$9,EOMONTH('Configuración'!$B$10,0)&lt;'Configuración'!$B$8),"",MAX('Configuración'!$B$8,MIN('Configuración'!$B$9,WORKDAY('Configuración'!$B$10-1,G28)))))</x:f>
        <x:v>46353</x:v>
      </x:c>
      <x:c r="I28" s="10" t="str">
        <x:v>Pendiente</x:v>
      </x:c>
      <x:c r="J28" s="10" t="str"/>
      <x:c r="K28" s="10" t="str">
        <x:v>Pendiente</x:v>
      </x:c>
      <x:c r="L28" s="10" t="str">
        <x:v>Pendiente</x:v>
      </x:c>
      <x:c r="M28" s="11"/>
      <x:c r="N28" s="2" t="str">
        <x:f>IF(E28="No","Fuera de alcance",IF(H28="","Fuera del contrato",IF(AND(I28="No aplica",J28&lt;&gt;"",K28="Validada"),"No aplica justificado",IF(AND(I28="Realizado",J28&lt;&gt;"",K28="Validada",L28="Aceptado",ISNUMBER(M28)),"Completo",IF(AND(I28="Controlado sin novedad",J28&lt;&gt;"",K28="Validada",ISNUMBER(M28)),"Controlado",IF('Configuración'!$B$11&gt;H28,"Vencido","Pendiente"))))))</x:f>
        <x:v>Pendiente</x:v>
      </x:c>
      <x:c r="O28" s="15"/>
      <x:c r="P28" s="15"/>
    </x:row>
    <x:row r="29" ht="48" customHeight="1">
      <x:c r="A29" s="2" t="n">
        <x:v>22</x:v>
      </x:c>
      <x:c r="B29" s="16" t="str">
        <x:v>Repositorio de decisiones aportadas; llevanza de actas y registros excluida</x:v>
      </x:c>
      <x:c r="C29" s="2" t="str">
        <x:v>Reuniones y acuerdos</x:v>
      </x:c>
      <x:c r="D29" s="2" t="str">
        <x:v>Bajo demanda</x:v>
      </x:c>
      <x:c r="E29" s="10" t="str">
        <x:v>Sí</x:v>
      </x:c>
      <x:c r="F29" s="10" t="str">
        <x:v>Por asignar</x:v>
      </x:c>
      <x:c r="G29" s="10" t="n">
        <x:v>20</x:v>
      </x:c>
      <x:c r="H29" s="13" t="n">
        <x:f>IF(E29="No","",IF(OR('Configuración'!$B$10&gt;'Configuración'!$B$9,EOMONTH('Configuración'!$B$10,0)&lt;'Configuración'!$B$8),"",MAX('Configuración'!$B$8,MIN('Configuración'!$B$9,WORKDAY('Configuración'!$B$10-1,G29)))))</x:f>
        <x:v>46353</x:v>
      </x:c>
      <x:c r="I29" s="10" t="str">
        <x:v>Pendiente</x:v>
      </x:c>
      <x:c r="J29" s="10" t="str"/>
      <x:c r="K29" s="10" t="str">
        <x:v>Pendiente</x:v>
      </x:c>
      <x:c r="L29" s="10" t="str">
        <x:v>Pendiente</x:v>
      </x:c>
      <x:c r="M29" s="11"/>
      <x:c r="N29" s="2" t="str">
        <x:f>IF(E29="No","Fuera de alcance",IF(H29="","Fuera del contrato",IF(AND(I29="No aplica",J29&lt;&gt;"",K29="Validada"),"No aplica justificado",IF(AND(I29="Realizado",J29&lt;&gt;"",K29="Validada",L29="Aceptado",ISNUMBER(M29)),"Completo",IF(AND(I29="Controlado sin novedad",J29&lt;&gt;"",K29="Validada",ISNUMBER(M29)),"Controlado",IF('Configuración'!$B$11&gt;H29,"Vencido","Pendiente"))))))</x:f>
        <x:v>Pendiente</x:v>
      </x:c>
      <x:c r="O29" s="15"/>
      <x:c r="P29" s="15"/>
    </x:row>
    <x:row r="30" ht="48" customHeight="1">
      <x:c r="A30" s="2" t="n">
        <x:v>23</x:v>
      </x:c>
      <x:c r="B30" s="16" t="str">
        <x:v>Diseño del expediente digital</x:v>
      </x:c>
      <x:c r="C30" s="2" t="str">
        <x:v>Archivo privado</x:v>
      </x:c>
      <x:c r="D30" s="2" t="str">
        <x:v>Semanal</x:v>
      </x:c>
      <x:c r="E30" s="10" t="str">
        <x:v>Sí</x:v>
      </x:c>
      <x:c r="F30" s="10" t="str">
        <x:v>Por asignar</x:v>
      </x:c>
      <x:c r="G30" s="10" t="n">
        <x:v>2</x:v>
      </x:c>
      <x:c r="H30" s="13" t="n">
        <x:f>IF(E30="No","",IF(OR('Configuración'!$B$10&gt;'Configuración'!$B$9,EOMONTH('Configuración'!$B$10,0)&lt;'Configuración'!$B$8),"",MAX('Configuración'!$B$8,MIN('Configuración'!$B$9,WORKDAY('Configuración'!$B$10-1,G30)))))</x:f>
        <x:v>46329</x:v>
      </x:c>
      <x:c r="I30" s="10" t="str">
        <x:v>Pendiente</x:v>
      </x:c>
      <x:c r="J30" s="10" t="str"/>
      <x:c r="K30" s="10" t="str">
        <x:v>Pendiente</x:v>
      </x:c>
      <x:c r="L30" s="10" t="str">
        <x:v>Pendiente</x:v>
      </x:c>
      <x:c r="M30" s="11"/>
      <x:c r="N30" s="2" t="str">
        <x:f>IF(E30="No","Fuera de alcance",IF(H30="","Fuera del contrato",IF(AND(I30="No aplica",J30&lt;&gt;"",K30="Validada"),"No aplica justificado",IF(AND(I30="Realizado",J30&lt;&gt;"",K30="Validada",L30="Aceptado",ISNUMBER(M30)),"Completo",IF(AND(I30="Controlado sin novedad",J30&lt;&gt;"",K30="Validada",ISNUMBER(M30)),"Controlado",IF('Configuración'!$B$11&gt;H30,"Vencido","Pendiente"))))))</x:f>
        <x:v>Pendiente</x:v>
      </x:c>
      <x:c r="O30" s="15"/>
      <x:c r="P30" s="15"/>
    </x:row>
    <x:row r="31" ht="48" customHeight="1">
      <x:c r="A31" s="2" t="n">
        <x:v>24</x:v>
      </x:c>
      <x:c r="B31" s="16" t="str">
        <x:v>Clasificación de documentos</x:v>
      </x:c>
      <x:c r="C31" s="2" t="str">
        <x:v>Archivo privado</x:v>
      </x:c>
      <x:c r="D31" s="2" t="str">
        <x:v>Semanal</x:v>
      </x:c>
      <x:c r="E31" s="10" t="str">
        <x:v>Sí</x:v>
      </x:c>
      <x:c r="F31" s="10" t="str">
        <x:v>Por asignar</x:v>
      </x:c>
      <x:c r="G31" s="10" t="n">
        <x:v>2</x:v>
      </x:c>
      <x:c r="H31" s="13" t="n">
        <x:f>IF(E31="No","",IF(OR('Configuración'!$B$10&gt;'Configuración'!$B$9,EOMONTH('Configuración'!$B$10,0)&lt;'Configuración'!$B$8),"",MAX('Configuración'!$B$8,MIN('Configuración'!$B$9,WORKDAY('Configuración'!$B$10-1,G31)))))</x:f>
        <x:v>46329</x:v>
      </x:c>
      <x:c r="I31" s="10" t="str">
        <x:v>Pendiente</x:v>
      </x:c>
      <x:c r="J31" s="10" t="str"/>
      <x:c r="K31" s="10" t="str">
        <x:v>Pendiente</x:v>
      </x:c>
      <x:c r="L31" s="10" t="str">
        <x:v>Pendiente</x:v>
      </x:c>
      <x:c r="M31" s="11"/>
      <x:c r="N31" s="2" t="str">
        <x:f>IF(E31="No","Fuera de alcance",IF(H31="","Fuera del contrato",IF(AND(I31="No aplica",J31&lt;&gt;"",K31="Validada"),"No aplica justificado",IF(AND(I31="Realizado",J31&lt;&gt;"",K31="Validada",L31="Aceptado",ISNUMBER(M31)),"Completo",IF(AND(I31="Controlado sin novedad",J31&lt;&gt;"",K31="Validada",ISNUMBER(M31)),"Controlado",IF('Configuración'!$B$11&gt;H31,"Vencido","Pendiente"))))))</x:f>
        <x:v>Pendiente</x:v>
      </x:c>
      <x:c r="O31" s="15"/>
      <x:c r="P31" s="15"/>
    </x:row>
    <x:row r="32" ht="48" customHeight="1">
      <x:c r="A32" s="2" t="n">
        <x:v>25</x:v>
      </x:c>
      <x:c r="B32" s="16" t="str">
        <x:v>Control de versiones</x:v>
      </x:c>
      <x:c r="C32" s="2" t="str">
        <x:v>Archivo privado</x:v>
      </x:c>
      <x:c r="D32" s="2" t="str">
        <x:v>Semanal</x:v>
      </x:c>
      <x:c r="E32" s="10" t="str">
        <x:v>Sí</x:v>
      </x:c>
      <x:c r="F32" s="10" t="str">
        <x:v>Por asignar</x:v>
      </x:c>
      <x:c r="G32" s="10" t="n">
        <x:v>2</x:v>
      </x:c>
      <x:c r="H32" s="13" t="n">
        <x:f>IF(E32="No","",IF(OR('Configuración'!$B$10&gt;'Configuración'!$B$9,EOMONTH('Configuración'!$B$10,0)&lt;'Configuración'!$B$8),"",MAX('Configuración'!$B$8,MIN('Configuración'!$B$9,WORKDAY('Configuración'!$B$10-1,G32)))))</x:f>
        <x:v>46329</x:v>
      </x:c>
      <x:c r="I32" s="10" t="str">
        <x:v>Pendiente</x:v>
      </x:c>
      <x:c r="J32" s="10" t="str"/>
      <x:c r="K32" s="10" t="str">
        <x:v>Pendiente</x:v>
      </x:c>
      <x:c r="L32" s="10" t="str">
        <x:v>Pendiente</x:v>
      </x:c>
      <x:c r="M32" s="11"/>
      <x:c r="N32" s="2" t="str">
        <x:f>IF(E32="No","Fuera de alcance",IF(H32="","Fuera del contrato",IF(AND(I32="No aplica",J32&lt;&gt;"",K32="Validada"),"No aplica justificado",IF(AND(I32="Realizado",J32&lt;&gt;"",K32="Validada",L32="Aceptado",ISNUMBER(M32)),"Completo",IF(AND(I32="Controlado sin novedad",J32&lt;&gt;"",K32="Validada",ISNUMBER(M32)),"Controlado",IF('Configuración'!$B$11&gt;H32,"Vencido","Pendiente"))))))</x:f>
        <x:v>Pendiente</x:v>
      </x:c>
      <x:c r="O32" s="15"/>
      <x:c r="P32" s="15"/>
    </x:row>
    <x:row r="33" ht="48" customHeight="1">
      <x:c r="A33" s="2" t="n">
        <x:v>26</x:v>
      </x:c>
      <x:c r="B33" s="16" t="str">
        <x:v>Control de vencimientos documentales</x:v>
      </x:c>
      <x:c r="C33" s="2" t="str">
        <x:v>Archivo privado</x:v>
      </x:c>
      <x:c r="D33" s="2" t="str">
        <x:v>Diaria</x:v>
      </x:c>
      <x:c r="E33" s="10" t="str">
        <x:v>Sí</x:v>
      </x:c>
      <x:c r="F33" s="10" t="str">
        <x:v>Por asignar</x:v>
      </x:c>
      <x:c r="G33" s="10" t="n">
        <x:v>2</x:v>
      </x:c>
      <x:c r="H33" s="13" t="n">
        <x:f>IF(E33="No","",IF(OR('Configuración'!$B$10&gt;'Configuración'!$B$9,EOMONTH('Configuración'!$B$10,0)&lt;'Configuración'!$B$8),"",MAX('Configuración'!$B$8,MIN('Configuración'!$B$9,WORKDAY('Configuración'!$B$10-1,G33)))))</x:f>
        <x:v>46329</x:v>
      </x:c>
      <x:c r="I33" s="10" t="str">
        <x:v>Pendiente</x:v>
      </x:c>
      <x:c r="J33" s="10" t="str"/>
      <x:c r="K33" s="10" t="str">
        <x:v>Pendiente</x:v>
      </x:c>
      <x:c r="L33" s="10" t="str">
        <x:v>Pendiente</x:v>
      </x:c>
      <x:c r="M33" s="11"/>
      <x:c r="N33" s="2" t="str">
        <x:f>IF(E33="No","Fuera de alcance",IF(H33="","Fuera del contrato",IF(AND(I33="No aplica",J33&lt;&gt;"",K33="Validada"),"No aplica justificado",IF(AND(I33="Realizado",J33&lt;&gt;"",K33="Validada",L33="Aceptado",ISNUMBER(M33)),"Completo",IF(AND(I33="Controlado sin novedad",J33&lt;&gt;"",K33="Validada",ISNUMBER(M33)),"Controlado",IF('Configuración'!$B$11&gt;H33,"Vencido","Pendiente"))))))</x:f>
        <x:v>Pendiente</x:v>
      </x:c>
      <x:c r="O33" s="15"/>
      <x:c r="P33" s="15"/>
    </x:row>
    <x:row r="34" ht="48" customHeight="1">
      <x:c r="A34" s="2" t="n">
        <x:v>27</x:v>
      </x:c>
      <x:c r="B34" s="16" t="str">
        <x:v>Buscador interno de información</x:v>
      </x:c>
      <x:c r="C34" s="2" t="str">
        <x:v>Archivo privado</x:v>
      </x:c>
      <x:c r="D34" s="2" t="str">
        <x:v>Diaria</x:v>
      </x:c>
      <x:c r="E34" s="10" t="str">
        <x:v>Sí</x:v>
      </x:c>
      <x:c r="F34" s="10" t="str">
        <x:v>Por asignar</x:v>
      </x:c>
      <x:c r="G34" s="10" t="n">
        <x:v>2</x:v>
      </x:c>
      <x:c r="H34" s="13" t="n">
        <x:f>IF(E34="No","",IF(OR('Configuración'!$B$10&gt;'Configuración'!$B$9,EOMONTH('Configuración'!$B$10,0)&lt;'Configuración'!$B$8),"",MAX('Configuración'!$B$8,MIN('Configuración'!$B$9,WORKDAY('Configuración'!$B$10-1,G34)))))</x:f>
        <x:v>46329</x:v>
      </x:c>
      <x:c r="I34" s="10" t="str">
        <x:v>Pendiente</x:v>
      </x:c>
      <x:c r="J34" s="10" t="str"/>
      <x:c r="K34" s="10" t="str">
        <x:v>Pendiente</x:v>
      </x:c>
      <x:c r="L34" s="10" t="str">
        <x:v>Pendiente</x:v>
      </x:c>
      <x:c r="M34" s="11"/>
      <x:c r="N34" s="2" t="str">
        <x:f>IF(E34="No","Fuera de alcance",IF(H34="","Fuera del contrato",IF(AND(I34="No aplica",J34&lt;&gt;"",K34="Validada"),"No aplica justificado",IF(AND(I34="Realizado",J34&lt;&gt;"",K34="Validada",L34="Aceptado",ISNUMBER(M34)),"Completo",IF(AND(I34="Controlado sin novedad",J34&lt;&gt;"",K34="Validada",ISNUMBER(M34)),"Controlado",IF('Configuración'!$B$11&gt;H34,"Vencido","Pendiente"))))))</x:f>
        <x:v>Pendiente</x:v>
      </x:c>
      <x:c r="O34" s="15"/>
      <x:c r="P34" s="15"/>
    </x:row>
    <x:row r="35" ht="48" customHeight="1">
      <x:c r="A35" s="2" t="n">
        <x:v>28</x:v>
      </x:c>
      <x:c r="B35" s="16" t="str">
        <x:v>Transferencia de conocimiento</x:v>
      </x:c>
      <x:c r="C35" s="2" t="str">
        <x:v>Archivo privado</x:v>
      </x:c>
      <x:c r="D35" s="2" t="str">
        <x:v>Mensual</x:v>
      </x:c>
      <x:c r="E35" s="10" t="str">
        <x:v>Sí</x:v>
      </x:c>
      <x:c r="F35" s="10" t="str">
        <x:v>Por asignar</x:v>
      </x:c>
      <x:c r="G35" s="10" t="n">
        <x:v>2</x:v>
      </x:c>
      <x:c r="H35" s="13" t="n">
        <x:f>IF(E35="No","",IF(OR('Configuración'!$B$10&gt;'Configuración'!$B$9,EOMONTH('Configuración'!$B$10,0)&lt;'Configuración'!$B$8),"",MAX('Configuración'!$B$8,MIN('Configuración'!$B$9,WORKDAY('Configuración'!$B$10-1,G35)))))</x:f>
        <x:v>46329</x:v>
      </x:c>
      <x:c r="I35" s="10" t="str">
        <x:v>Pendiente</x:v>
      </x:c>
      <x:c r="J35" s="10" t="str"/>
      <x:c r="K35" s="10" t="str">
        <x:v>Pendiente</x:v>
      </x:c>
      <x:c r="L35" s="10" t="str">
        <x:v>Pendiente</x:v>
      </x:c>
      <x:c r="M35" s="11"/>
      <x:c r="N35" s="2" t="str">
        <x:f>IF(E35="No","Fuera de alcance",IF(H35="","Fuera del contrato",IF(AND(I35="No aplica",J35&lt;&gt;"",K35="Validada"),"No aplica justificado",IF(AND(I35="Realizado",J35&lt;&gt;"",K35="Validada",L35="Aceptado",ISNUMBER(M35)),"Completo",IF(AND(I35="Controlado sin novedad",J35&lt;&gt;"",K35="Validada",ISNUMBER(M35)),"Controlado",IF('Configuración'!$B$11&gt;H35,"Vencido","Pendiente"))))))</x:f>
        <x:v>Pendiente</x:v>
      </x:c>
      <x:c r="O35" s="15"/>
      <x:c r="P35" s="15"/>
    </x:row>
    <x:row r="36" ht="48" customHeight="1">
      <x:c r="A36" s="2" t="n">
        <x:v>29</x:v>
      </x:c>
      <x:c r="B36" s="16" t="str">
        <x:v>Vigilancia legislativa</x:v>
      </x:c>
      <x:c r="C36" s="2" t="str">
        <x:v>Cumplimiento</x:v>
      </x:c>
      <x:c r="D36" s="2" t="str">
        <x:v>Semanal</x:v>
      </x:c>
      <x:c r="E36" s="10" t="str">
        <x:v>Sí</x:v>
      </x:c>
      <x:c r="F36" s="10" t="str">
        <x:v>Por asignar</x:v>
      </x:c>
      <x:c r="G36" s="10" t="n">
        <x:v>10</x:v>
      </x:c>
      <x:c r="H36" s="13" t="n">
        <x:f>IF(E36="No","",IF(OR('Configuración'!$B$10&gt;'Configuración'!$B$9,EOMONTH('Configuración'!$B$10,0)&lt;'Configuración'!$B$8),"",MAX('Configuración'!$B$8,MIN('Configuración'!$B$9,WORKDAY('Configuración'!$B$10-1,G36)))))</x:f>
        <x:v>46339</x:v>
      </x:c>
      <x:c r="I36" s="10" t="str">
        <x:v>Pendiente</x:v>
      </x:c>
      <x:c r="J36" s="10" t="str"/>
      <x:c r="K36" s="10" t="str">
        <x:v>Pendiente</x:v>
      </x:c>
      <x:c r="L36" s="10" t="str">
        <x:v>Pendiente</x:v>
      </x:c>
      <x:c r="M36" s="11"/>
      <x:c r="N36" s="2" t="str">
        <x:f>IF(E36="No","Fuera de alcance",IF(H36="","Fuera del contrato",IF(AND(I36="No aplica",J36&lt;&gt;"",K36="Validada"),"No aplica justificado",IF(AND(I36="Realizado",J36&lt;&gt;"",K36="Validada",L36="Aceptado",ISNUMBER(M36)),"Completo",IF(AND(I36="Controlado sin novedad",J36&lt;&gt;"",K36="Validada",ISNUMBER(M36)),"Controlado",IF('Configuración'!$B$11&gt;H36,"Vencido","Pendiente"))))))</x:f>
        <x:v>Pendiente</x:v>
      </x:c>
      <x:c r="O36" s="15"/>
      <x:c r="P36" s="15"/>
    </x:row>
    <x:row r="37" ht="48" customHeight="1">
      <x:c r="A37" s="2" t="n">
        <x:v>30</x:v>
      </x:c>
      <x:c r="B37" s="16" t="str">
        <x:v>Resumen explicativo de normas</x:v>
      </x:c>
      <x:c r="C37" s="2" t="str">
        <x:v>Cumplimiento</x:v>
      </x:c>
      <x:c r="D37" s="2" t="str">
        <x:v>Mensual</x:v>
      </x:c>
      <x:c r="E37" s="10" t="str">
        <x:v>Sí</x:v>
      </x:c>
      <x:c r="F37" s="10" t="str">
        <x:v>Por asignar</x:v>
      </x:c>
      <x:c r="G37" s="10" t="n">
        <x:v>10</x:v>
      </x:c>
      <x:c r="H37" s="13" t="n">
        <x:f>IF(E37="No","",IF(OR('Configuración'!$B$10&gt;'Configuración'!$B$9,EOMONTH('Configuración'!$B$10,0)&lt;'Configuración'!$B$8),"",MAX('Configuración'!$B$8,MIN('Configuración'!$B$9,WORKDAY('Configuración'!$B$10-1,G37)))))</x:f>
        <x:v>46339</x:v>
      </x:c>
      <x:c r="I37" s="10" t="str">
        <x:v>Pendiente</x:v>
      </x:c>
      <x:c r="J37" s="10" t="str"/>
      <x:c r="K37" s="10" t="str">
        <x:v>Pendiente</x:v>
      </x:c>
      <x:c r="L37" s="10" t="str">
        <x:v>Pendiente</x:v>
      </x:c>
      <x:c r="M37" s="11"/>
      <x:c r="N37" s="2" t="str">
        <x:f>IF(E37="No","Fuera de alcance",IF(H37="","Fuera del contrato",IF(AND(I37="No aplica",J37&lt;&gt;"",K37="Validada"),"No aplica justificado",IF(AND(I37="Realizado",J37&lt;&gt;"",K37="Validada",L37="Aceptado",ISNUMBER(M37)),"Completo",IF(AND(I37="Controlado sin novedad",J37&lt;&gt;"",K37="Validada",ISNUMBER(M37)),"Controlado",IF('Configuración'!$B$11&gt;H37,"Vencido","Pendiente"))))))</x:f>
        <x:v>Pendiente</x:v>
      </x:c>
      <x:c r="O37" s="15"/>
      <x:c r="P37" s="15"/>
    </x:row>
    <x:row r="38" ht="48" customHeight="1">
      <x:c r="A38" s="2" t="n">
        <x:v>31</x:v>
      </x:c>
      <x:c r="B38" s="16" t="str">
        <x:v>Matriz de aplicabilidad</x:v>
      </x:c>
      <x:c r="C38" s="2" t="str">
        <x:v>Cumplimiento</x:v>
      </x:c>
      <x:c r="D38" s="2" t="str">
        <x:v>Mensual</x:v>
      </x:c>
      <x:c r="E38" s="10" t="str">
        <x:v>Sí</x:v>
      </x:c>
      <x:c r="F38" s="10" t="str">
        <x:v>Por asignar</x:v>
      </x:c>
      <x:c r="G38" s="10" t="n">
        <x:v>10</x:v>
      </x:c>
      <x:c r="H38" s="13" t="n">
        <x:f>IF(E38="No","",IF(OR('Configuración'!$B$10&gt;'Configuración'!$B$9,EOMONTH('Configuración'!$B$10,0)&lt;'Configuración'!$B$8),"",MAX('Configuración'!$B$8,MIN('Configuración'!$B$9,WORKDAY('Configuración'!$B$10-1,G38)))))</x:f>
        <x:v>46339</x:v>
      </x:c>
      <x:c r="I38" s="10" t="str">
        <x:v>Pendiente</x:v>
      </x:c>
      <x:c r="J38" s="10" t="str"/>
      <x:c r="K38" s="10" t="str">
        <x:v>Pendiente</x:v>
      </x:c>
      <x:c r="L38" s="10" t="str">
        <x:v>Pendiente</x:v>
      </x:c>
      <x:c r="M38" s="11"/>
      <x:c r="N38" s="2" t="str">
        <x:f>IF(E38="No","Fuera de alcance",IF(H38="","Fuera del contrato",IF(AND(I38="No aplica",J38&lt;&gt;"",K38="Validada"),"No aplica justificado",IF(AND(I38="Realizado",J38&lt;&gt;"",K38="Validada",L38="Aceptado",ISNUMBER(M38)),"Completo",IF(AND(I38="Controlado sin novedad",J38&lt;&gt;"",K38="Validada",ISNUMBER(M38)),"Controlado",IF('Configuración'!$B$11&gt;H38,"Vencido","Pendiente"))))))</x:f>
        <x:v>Pendiente</x:v>
      </x:c>
      <x:c r="O38" s="15"/>
      <x:c r="P38" s="15"/>
    </x:row>
    <x:row r="39" ht="48" customHeight="1">
      <x:c r="A39" s="2" t="n">
        <x:v>32</x:v>
      </x:c>
      <x:c r="B39" s="16" t="str">
        <x:v>Plan de implementación legislativa</x:v>
      </x:c>
      <x:c r="C39" s="2" t="str">
        <x:v>Cumplimiento</x:v>
      </x:c>
      <x:c r="D39" s="2" t="str">
        <x:v>Mensual</x:v>
      </x:c>
      <x:c r="E39" s="10" t="str">
        <x:v>Sí</x:v>
      </x:c>
      <x:c r="F39" s="10" t="str">
        <x:v>Por asignar</x:v>
      </x:c>
      <x:c r="G39" s="10" t="n">
        <x:v>10</x:v>
      </x:c>
      <x:c r="H39" s="13" t="n">
        <x:f>IF(E39="No","",IF(OR('Configuración'!$B$10&gt;'Configuración'!$B$9,EOMONTH('Configuración'!$B$10,0)&lt;'Configuración'!$B$8),"",MAX('Configuración'!$B$8,MIN('Configuración'!$B$9,WORKDAY('Configuración'!$B$10-1,G39)))))</x:f>
        <x:v>46339</x:v>
      </x:c>
      <x:c r="I39" s="10" t="str">
        <x:v>Pendiente</x:v>
      </x:c>
      <x:c r="J39" s="10" t="str"/>
      <x:c r="K39" s="10" t="str">
        <x:v>Pendiente</x:v>
      </x:c>
      <x:c r="L39" s="10" t="str">
        <x:v>Pendiente</x:v>
      </x:c>
      <x:c r="M39" s="11"/>
      <x:c r="N39" s="2" t="str">
        <x:f>IF(E39="No","Fuera de alcance",IF(H39="","Fuera del contrato",IF(AND(I39="No aplica",J39&lt;&gt;"",K39="Validada"),"No aplica justificado",IF(AND(I39="Realizado",J39&lt;&gt;"",K39="Validada",L39="Aceptado",ISNUMBER(M39)),"Completo",IF(AND(I39="Controlado sin novedad",J39&lt;&gt;"",K39="Validada",ISNUMBER(M39)),"Controlado",IF('Configuración'!$B$11&gt;H39,"Vencido","Pendiente"))))))</x:f>
        <x:v>Pendiente</x:v>
      </x:c>
      <x:c r="O39" s="15"/>
      <x:c r="P39" s="15"/>
    </x:row>
    <x:row r="40" ht="48" customHeight="1">
      <x:c r="A40" s="2" t="n">
        <x:v>33</x:v>
      </x:c>
      <x:c r="B40" s="16" t="str">
        <x:v>Preguntas y respuestas avanzadas</x:v>
      </x:c>
      <x:c r="C40" s="2" t="str">
        <x:v>Cumplimiento</x:v>
      </x:c>
      <x:c r="D40" s="2" t="str">
        <x:v>Semanal</x:v>
      </x:c>
      <x:c r="E40" s="10" t="str">
        <x:v>Sí</x:v>
      </x:c>
      <x:c r="F40" s="10" t="str">
        <x:v>Por asignar</x:v>
      </x:c>
      <x:c r="G40" s="10" t="n">
        <x:v>10</x:v>
      </x:c>
      <x:c r="H40" s="13" t="n">
        <x:f>IF(E40="No","",IF(OR('Configuración'!$B$10&gt;'Configuración'!$B$9,EOMONTH('Configuración'!$B$10,0)&lt;'Configuración'!$B$8),"",MAX('Configuración'!$B$8,MIN('Configuración'!$B$9,WORKDAY('Configuración'!$B$10-1,G40)))))</x:f>
        <x:v>46339</x:v>
      </x:c>
      <x:c r="I40" s="10" t="str">
        <x:v>Pendiente</x:v>
      </x:c>
      <x:c r="J40" s="10" t="str"/>
      <x:c r="K40" s="10" t="str">
        <x:v>Pendiente</x:v>
      </x:c>
      <x:c r="L40" s="10" t="str">
        <x:v>Pendiente</x:v>
      </x:c>
      <x:c r="M40" s="11"/>
      <x:c r="N40" s="2" t="str">
        <x:f>IF(E40="No","Fuera de alcance",IF(H40="","Fuera del contrato",IF(AND(I40="No aplica",J40&lt;&gt;"",K40="Validada"),"No aplica justificado",IF(AND(I40="Realizado",J40&lt;&gt;"",K40="Validada",L40="Aceptado",ISNUMBER(M40)),"Completo",IF(AND(I40="Controlado sin novedad",J40&lt;&gt;"",K40="Validada",ISNUMBER(M40)),"Controlado",IF('Configuración'!$B$11&gt;H40,"Vencido","Pendiente"))))))</x:f>
        <x:v>Pendiente</x:v>
      </x:c>
      <x:c r="O40" s="15"/>
      <x:c r="P40" s="15"/>
    </x:row>
    <x:row r="41" ht="48" customHeight="1">
      <x:c r="A41" s="2" t="n">
        <x:v>34</x:v>
      </x:c>
      <x:c r="B41" s="16" t="str">
        <x:v>Entrenamiento legislativo continuo</x:v>
      </x:c>
      <x:c r="C41" s="2" t="str">
        <x:v>Cumplimiento</x:v>
      </x:c>
      <x:c r="D41" s="2" t="str">
        <x:v>Mensual</x:v>
      </x:c>
      <x:c r="E41" s="10" t="str">
        <x:v>Sí</x:v>
      </x:c>
      <x:c r="F41" s="10" t="str">
        <x:v>Por asignar</x:v>
      </x:c>
      <x:c r="G41" s="10" t="n">
        <x:v>10</x:v>
      </x:c>
      <x:c r="H41" s="13" t="n">
        <x:f>IF(E41="No","",IF(OR('Configuración'!$B$10&gt;'Configuración'!$B$9,EOMONTH('Configuración'!$B$10,0)&lt;'Configuración'!$B$8),"",MAX('Configuración'!$B$8,MIN('Configuración'!$B$9,WORKDAY('Configuración'!$B$10-1,G41)))))</x:f>
        <x:v>46339</x:v>
      </x:c>
      <x:c r="I41" s="10" t="str">
        <x:v>Pendiente</x:v>
      </x:c>
      <x:c r="J41" s="10" t="str"/>
      <x:c r="K41" s="10" t="str">
        <x:v>Pendiente</x:v>
      </x:c>
      <x:c r="L41" s="10" t="str">
        <x:v>Pendiente</x:v>
      </x:c>
      <x:c r="M41" s="11"/>
      <x:c r="N41" s="2" t="str">
        <x:f>IF(E41="No","Fuera de alcance",IF(H41="","Fuera del contrato",IF(AND(I41="No aplica",J41&lt;&gt;"",K41="Validada"),"No aplica justificado",IF(AND(I41="Realizado",J41&lt;&gt;"",K41="Validada",L41="Aceptado",ISNUMBER(M41)),"Completo",IF(AND(I41="Controlado sin novedad",J41&lt;&gt;"",K41="Validada",ISNUMBER(M41)),"Controlado",IF('Configuración'!$B$11&gt;H41,"Vencido","Pendiente"))))))</x:f>
        <x:v>Pendiente</x:v>
      </x:c>
      <x:c r="O41" s="15"/>
      <x:c r="P41" s="15"/>
    </x:row>
    <x:row r="42" ht="48" customHeight="1">
      <x:c r="A42" s="2" t="n">
        <x:v>35</x:v>
      </x:c>
      <x:c r="B42" s="16" t="str">
        <x:v>Control de evidencias de cumplimiento</x:v>
      </x:c>
      <x:c r="C42" s="2" t="str">
        <x:v>Cumplimiento</x:v>
      </x:c>
      <x:c r="D42" s="2" t="str">
        <x:v>Semanal</x:v>
      </x:c>
      <x:c r="E42" s="10" t="str">
        <x:v>Sí</x:v>
      </x:c>
      <x:c r="F42" s="10" t="str">
        <x:v>Por asignar</x:v>
      </x:c>
      <x:c r="G42" s="10" t="n">
        <x:v>10</x:v>
      </x:c>
      <x:c r="H42" s="13" t="n">
        <x:f>IF(E42="No","",IF(OR('Configuración'!$B$10&gt;'Configuración'!$B$9,EOMONTH('Configuración'!$B$10,0)&lt;'Configuración'!$B$8),"",MAX('Configuración'!$B$8,MIN('Configuración'!$B$9,WORKDAY('Configuración'!$B$10-1,G42)))))</x:f>
        <x:v>46339</x:v>
      </x:c>
      <x:c r="I42" s="10" t="str">
        <x:v>Pendiente</x:v>
      </x:c>
      <x:c r="J42" s="10" t="str"/>
      <x:c r="K42" s="10" t="str">
        <x:v>Pendiente</x:v>
      </x:c>
      <x:c r="L42" s="10" t="str">
        <x:v>Pendiente</x:v>
      </x:c>
      <x:c r="M42" s="11"/>
      <x:c r="N42" s="2" t="str">
        <x:f>IF(E42="No","Fuera de alcance",IF(H42="","Fuera del contrato",IF(AND(I42="No aplica",J42&lt;&gt;"",K42="Validada"),"No aplica justificado",IF(AND(I42="Realizado",J42&lt;&gt;"",K42="Validada",L42="Aceptado",ISNUMBER(M42)),"Completo",IF(AND(I42="Controlado sin novedad",J42&lt;&gt;"",K42="Validada",ISNUMBER(M42)),"Controlado",IF('Configuración'!$B$11&gt;H42,"Vencido","Pendiente"))))))</x:f>
        <x:v>Pendiente</x:v>
      </x:c>
      <x:c r="O42" s="15"/>
      <x:c r="P42" s="15"/>
    </x:row>
    <x:row r="43" ht="48" customHeight="1">
      <x:c r="A43" s="2" t="n">
        <x:v>36</x:v>
      </x:c>
      <x:c r="B43" s="16" t="str">
        <x:v>Revisión diaria o semanal de la contabilidad</x:v>
      </x:c>
      <x:c r="C43" s="2" t="str">
        <x:v>Contabilidad auxiliar</x:v>
      </x:c>
      <x:c r="D43" s="2" t="str">
        <x:v>Mensual</x:v>
      </x:c>
      <x:c r="E43" s="10" t="str">
        <x:v>Sí</x:v>
      </x:c>
      <x:c r="F43" s="10" t="str">
        <x:v>Por asignar</x:v>
      </x:c>
      <x:c r="G43" s="10" t="n">
        <x:v>9</x:v>
      </x:c>
      <x:c r="H43" s="13" t="n">
        <x:f>IF(E43="No","",IF(OR('Configuración'!$B$10&gt;'Configuración'!$B$9,EOMONTH('Configuración'!$B$10,0)&lt;'Configuración'!$B$8),"",MAX('Configuración'!$B$8,MIN('Configuración'!$B$9,WORKDAY('Configuración'!$B$10-1,G43)))))</x:f>
        <x:v>46338</x:v>
      </x:c>
      <x:c r="I43" s="10" t="str">
        <x:v>Pendiente</x:v>
      </x:c>
      <x:c r="J43" s="10" t="str"/>
      <x:c r="K43" s="10" t="str">
        <x:v>Pendiente</x:v>
      </x:c>
      <x:c r="L43" s="10" t="str">
        <x:v>Pendiente</x:v>
      </x:c>
      <x:c r="M43" s="11"/>
      <x:c r="N43" s="2" t="str">
        <x:f>IF(E43="No","Fuera de alcance",IF(H43="","Fuera del contrato",IF(AND(I43="No aplica",J43&lt;&gt;"",K43="Validada"),"No aplica justificado",IF(AND(I43="Realizado",J43&lt;&gt;"",K43="Validada",L43="Aceptado",ISNUMBER(M43)),"Completo",IF(AND(I43="Controlado sin novedad",J43&lt;&gt;"",K43="Validada",ISNUMBER(M43)),"Controlado",IF('Configuración'!$B$11&gt;H43,"Vencido","Pendiente"))))))</x:f>
        <x:v>Pendiente</x:v>
      </x:c>
      <x:c r="O43" s="15"/>
      <x:c r="P43" s="15"/>
    </x:row>
    <x:row r="44" ht="48" customHeight="1">
      <x:c r="A44" s="2" t="n">
        <x:v>37</x:v>
      </x:c>
      <x:c r="B44" s="16" t="str">
        <x:v>Detección de errores contables</x:v>
      </x:c>
      <x:c r="C44" s="2" t="str">
        <x:v>Contabilidad auxiliar</x:v>
      </x:c>
      <x:c r="D44" s="2" t="str">
        <x:v>Mensual</x:v>
      </x:c>
      <x:c r="E44" s="10" t="str">
        <x:v>Sí</x:v>
      </x:c>
      <x:c r="F44" s="10" t="str">
        <x:v>Por asignar</x:v>
      </x:c>
      <x:c r="G44" s="10" t="n">
        <x:v>9</x:v>
      </x:c>
      <x:c r="H44" s="13" t="n">
        <x:f>IF(E44="No","",IF(OR('Configuración'!$B$10&gt;'Configuración'!$B$9,EOMONTH('Configuración'!$B$10,0)&lt;'Configuración'!$B$8),"",MAX('Configuración'!$B$8,MIN('Configuración'!$B$9,WORKDAY('Configuración'!$B$10-1,G44)))))</x:f>
        <x:v>46338</x:v>
      </x:c>
      <x:c r="I44" s="10" t="str">
        <x:v>Pendiente</x:v>
      </x:c>
      <x:c r="J44" s="10" t="str"/>
      <x:c r="K44" s="10" t="str">
        <x:v>Pendiente</x:v>
      </x:c>
      <x:c r="L44" s="10" t="str">
        <x:v>Pendiente</x:v>
      </x:c>
      <x:c r="M44" s="11"/>
      <x:c r="N44" s="2" t="str">
        <x:f>IF(E44="No","Fuera de alcance",IF(H44="","Fuera del contrato",IF(AND(I44="No aplica",J44&lt;&gt;"",K44="Validada"),"No aplica justificado",IF(AND(I44="Realizado",J44&lt;&gt;"",K44="Validada",L44="Aceptado",ISNUMBER(M44)),"Completo",IF(AND(I44="Controlado sin novedad",J44&lt;&gt;"",K44="Validada",ISNUMBER(M44)),"Controlado",IF('Configuración'!$B$11&gt;H44,"Vencido","Pendiente"))))))</x:f>
        <x:v>Pendiente</x:v>
      </x:c>
      <x:c r="O44" s="15"/>
      <x:c r="P44" s="15"/>
    </x:row>
    <x:row r="45" ht="48" customHeight="1">
      <x:c r="A45" s="2" t="n">
        <x:v>38</x:v>
      </x:c>
      <x:c r="B45" s="16" t="str">
        <x:v>Control del cierre contable</x:v>
      </x:c>
      <x:c r="C45" s="2" t="str">
        <x:v>Contabilidad auxiliar</x:v>
      </x:c>
      <x:c r="D45" s="2" t="str">
        <x:v>Mensual</x:v>
      </x:c>
      <x:c r="E45" s="10" t="str">
        <x:v>Sí</x:v>
      </x:c>
      <x:c r="F45" s="10" t="str">
        <x:v>Por asignar</x:v>
      </x:c>
      <x:c r="G45" s="10" t="n">
        <x:v>9</x:v>
      </x:c>
      <x:c r="H45" s="13" t="n">
        <x:f>IF(E45="No","",IF(OR('Configuración'!$B$10&gt;'Configuración'!$B$9,EOMONTH('Configuración'!$B$10,0)&lt;'Configuración'!$B$8),"",MAX('Configuración'!$B$8,MIN('Configuración'!$B$9,WORKDAY('Configuración'!$B$10-1,G45)))))</x:f>
        <x:v>46338</x:v>
      </x:c>
      <x:c r="I45" s="10" t="str">
        <x:v>Pendiente</x:v>
      </x:c>
      <x:c r="J45" s="10" t="str"/>
      <x:c r="K45" s="10" t="str">
        <x:v>Pendiente</x:v>
      </x:c>
      <x:c r="L45" s="10" t="str">
        <x:v>Pendiente</x:v>
      </x:c>
      <x:c r="M45" s="11"/>
      <x:c r="N45" s="2" t="str">
        <x:f>IF(E45="No","Fuera de alcance",IF(H45="","Fuera del contrato",IF(AND(I45="No aplica",J45&lt;&gt;"",K45="Validada"),"No aplica justificado",IF(AND(I45="Realizado",J45&lt;&gt;"",K45="Validada",L45="Aceptado",ISNUMBER(M45)),"Completo",IF(AND(I45="Controlado sin novedad",J45&lt;&gt;"",K45="Validada",ISNUMBER(M45)),"Controlado",IF('Configuración'!$B$11&gt;H45,"Vencido","Pendiente"))))))</x:f>
        <x:v>Pendiente</x:v>
      </x:c>
      <x:c r="O45" s="15"/>
      <x:c r="P45" s="15"/>
    </x:row>
    <x:row r="46" ht="48" customHeight="1">
      <x:c r="A46" s="2" t="n">
        <x:v>39</x:v>
      </x:c>
      <x:c r="B46" s="16" t="str">
        <x:v>Preparación de estados financieros</x:v>
      </x:c>
      <x:c r="C46" s="2" t="str">
        <x:v>Contabilidad auxiliar</x:v>
      </x:c>
      <x:c r="D46" s="2" t="str">
        <x:v>Mensual</x:v>
      </x:c>
      <x:c r="E46" s="10" t="str">
        <x:v>Sí</x:v>
      </x:c>
      <x:c r="F46" s="10" t="str">
        <x:v>Por asignar</x:v>
      </x:c>
      <x:c r="G46" s="10" t="n">
        <x:v>9</x:v>
      </x:c>
      <x:c r="H46" s="13" t="n">
        <x:f>IF(E46="No","",IF(OR('Configuración'!$B$10&gt;'Configuración'!$B$9,EOMONTH('Configuración'!$B$10,0)&lt;'Configuración'!$B$8),"",MAX('Configuración'!$B$8,MIN('Configuración'!$B$9,WORKDAY('Configuración'!$B$10-1,G46)))))</x:f>
        <x:v>46338</x:v>
      </x:c>
      <x:c r="I46" s="10" t="str">
        <x:v>Pendiente</x:v>
      </x:c>
      <x:c r="J46" s="10" t="str"/>
      <x:c r="K46" s="10" t="str">
        <x:v>Pendiente</x:v>
      </x:c>
      <x:c r="L46" s="10" t="str">
        <x:v>Pendiente</x:v>
      </x:c>
      <x:c r="M46" s="11"/>
      <x:c r="N46" s="2" t="str">
        <x:f>IF(E46="No","Fuera de alcance",IF(H46="","Fuera del contrato",IF(AND(I46="No aplica",J46&lt;&gt;"",K46="Validada"),"No aplica justificado",IF(AND(I46="Realizado",J46&lt;&gt;"",K46="Validada",L46="Aceptado",ISNUMBER(M46)),"Completo",IF(AND(I46="Controlado sin novedad",J46&lt;&gt;"",K46="Validada",ISNUMBER(M46)),"Controlado",IF('Configuración'!$B$11&gt;H46,"Vencido","Pendiente"))))))</x:f>
        <x:v>Pendiente</x:v>
      </x:c>
      <x:c r="O46" s="15"/>
      <x:c r="P46" s="15"/>
    </x:row>
    <x:row r="47" ht="48" customHeight="1">
      <x:c r="A47" s="2" t="n">
        <x:v>40</x:v>
      </x:c>
      <x:c r="B47" s="16" t="str">
        <x:v>Notas descriptivas de cierres económicos</x:v>
      </x:c>
      <x:c r="C47" s="2" t="str">
        <x:v>Contabilidad auxiliar</x:v>
      </x:c>
      <x:c r="D47" s="2" t="str">
        <x:v>Mensual</x:v>
      </x:c>
      <x:c r="E47" s="10" t="str">
        <x:v>Sí</x:v>
      </x:c>
      <x:c r="F47" s="10" t="str">
        <x:v>Por asignar</x:v>
      </x:c>
      <x:c r="G47" s="10" t="n">
        <x:v>9</x:v>
      </x:c>
      <x:c r="H47" s="13" t="n">
        <x:f>IF(E47="No","",IF(OR('Configuración'!$B$10&gt;'Configuración'!$B$9,EOMONTH('Configuración'!$B$10,0)&lt;'Configuración'!$B$8),"",MAX('Configuración'!$B$8,MIN('Configuración'!$B$9,WORKDAY('Configuración'!$B$10-1,G47)))))</x:f>
        <x:v>46338</x:v>
      </x:c>
      <x:c r="I47" s="10" t="str">
        <x:v>Pendiente</x:v>
      </x:c>
      <x:c r="J47" s="10" t="str"/>
      <x:c r="K47" s="10" t="str">
        <x:v>Pendiente</x:v>
      </x:c>
      <x:c r="L47" s="10" t="str">
        <x:v>Pendiente</x:v>
      </x:c>
      <x:c r="M47" s="11"/>
      <x:c r="N47" s="2" t="str">
        <x:f>IF(E47="No","Fuera de alcance",IF(H47="","Fuera del contrato",IF(AND(I47="No aplica",J47&lt;&gt;"",K47="Validada"),"No aplica justificado",IF(AND(I47="Realizado",J47&lt;&gt;"",K47="Validada",L47="Aceptado",ISNUMBER(M47)),"Completo",IF(AND(I47="Controlado sin novedad",J47&lt;&gt;"",K47="Validada",ISNUMBER(M47)),"Controlado",IF('Configuración'!$B$11&gt;H47,"Vencido","Pendiente"))))))</x:f>
        <x:v>Pendiente</x:v>
      </x:c>
      <x:c r="O47" s="15"/>
      <x:c r="P47" s="15"/>
    </x:row>
    <x:row r="48" ht="48" customHeight="1">
      <x:c r="A48" s="2" t="n">
        <x:v>41</x:v>
      </x:c>
      <x:c r="B48" s="16" t="str">
        <x:v>Análisis de variaciones</x:v>
      </x:c>
      <x:c r="C48" s="2" t="str">
        <x:v>Contabilidad auxiliar</x:v>
      </x:c>
      <x:c r="D48" s="2" t="str">
        <x:v>Mensual</x:v>
      </x:c>
      <x:c r="E48" s="10" t="str">
        <x:v>Sí</x:v>
      </x:c>
      <x:c r="F48" s="10" t="str">
        <x:v>Por asignar</x:v>
      </x:c>
      <x:c r="G48" s="10" t="n">
        <x:v>9</x:v>
      </x:c>
      <x:c r="H48" s="13" t="n">
        <x:f>IF(E48="No","",IF(OR('Configuración'!$B$10&gt;'Configuración'!$B$9,EOMONTH('Configuración'!$B$10,0)&lt;'Configuración'!$B$8),"",MAX('Configuración'!$B$8,MIN('Configuración'!$B$9,WORKDAY('Configuración'!$B$10-1,G48)))))</x:f>
        <x:v>46338</x:v>
      </x:c>
      <x:c r="I48" s="10" t="str">
        <x:v>Pendiente</x:v>
      </x:c>
      <x:c r="J48" s="10" t="str"/>
      <x:c r="K48" s="10" t="str">
        <x:v>Pendiente</x:v>
      </x:c>
      <x:c r="L48" s="10" t="str">
        <x:v>Pendiente</x:v>
      </x:c>
      <x:c r="M48" s="11"/>
      <x:c r="N48" s="2" t="str">
        <x:f>IF(E48="No","Fuera de alcance",IF(H48="","Fuera del contrato",IF(AND(I48="No aplica",J48&lt;&gt;"",K48="Validada"),"No aplica justificado",IF(AND(I48="Realizado",J48&lt;&gt;"",K48="Validada",L48="Aceptado",ISNUMBER(M48)),"Completo",IF(AND(I48="Controlado sin novedad",J48&lt;&gt;"",K48="Validada",ISNUMBER(M48)),"Controlado",IF('Configuración'!$B$11&gt;H48,"Vencido","Pendiente"))))))</x:f>
        <x:v>Pendiente</x:v>
      </x:c>
      <x:c r="O48" s="15"/>
      <x:c r="P48" s="15"/>
    </x:row>
    <x:row r="49" ht="48" customHeight="1">
      <x:c r="A49" s="2" t="n">
        <x:v>42</x:v>
      </x:c>
      <x:c r="B49" s="16" t="str">
        <x:v>Conciliación de auxiliares y mayor</x:v>
      </x:c>
      <x:c r="C49" s="2" t="str">
        <x:v>Contabilidad auxiliar</x:v>
      </x:c>
      <x:c r="D49" s="2" t="str">
        <x:v>Mensual</x:v>
      </x:c>
      <x:c r="E49" s="10" t="str">
        <x:v>Sí</x:v>
      </x:c>
      <x:c r="F49" s="10" t="str">
        <x:v>Por asignar</x:v>
      </x:c>
      <x:c r="G49" s="10" t="n">
        <x:v>9</x:v>
      </x:c>
      <x:c r="H49" s="13" t="n">
        <x:f>IF(E49="No","",IF(OR('Configuración'!$B$10&gt;'Configuración'!$B$9,EOMONTH('Configuración'!$B$10,0)&lt;'Configuración'!$B$8),"",MAX('Configuración'!$B$8,MIN('Configuración'!$B$9,WORKDAY('Configuración'!$B$10-1,G49)))))</x:f>
        <x:v>46338</x:v>
      </x:c>
      <x:c r="I49" s="10" t="str">
        <x:v>Pendiente</x:v>
      </x:c>
      <x:c r="J49" s="10" t="str"/>
      <x:c r="K49" s="10" t="str">
        <x:v>Pendiente</x:v>
      </x:c>
      <x:c r="L49" s="10" t="str">
        <x:v>Pendiente</x:v>
      </x:c>
      <x:c r="M49" s="11"/>
      <x:c r="N49" s="2" t="str">
        <x:f>IF(E49="No","Fuera de alcance",IF(H49="","Fuera del contrato",IF(AND(I49="No aplica",J49&lt;&gt;"",K49="Validada"),"No aplica justificado",IF(AND(I49="Realizado",J49&lt;&gt;"",K49="Validada",L49="Aceptado",ISNUMBER(M49)),"Completo",IF(AND(I49="Controlado sin novedad",J49&lt;&gt;"",K49="Validada",ISNUMBER(M49)),"Controlado",IF('Configuración'!$B$11&gt;H49,"Vencido","Pendiente"))))))</x:f>
        <x:v>Pendiente</x:v>
      </x:c>
      <x:c r="O49" s="15"/>
      <x:c r="P49" s="15"/>
    </x:row>
    <x:row r="50" ht="48" customHeight="1">
      <x:c r="A50" s="2" t="n">
        <x:v>43</x:v>
      </x:c>
      <x:c r="B50" s="16" t="str">
        <x:v>Revisión de soportes contables</x:v>
      </x:c>
      <x:c r="C50" s="2" t="str">
        <x:v>Contabilidad auxiliar</x:v>
      </x:c>
      <x:c r="D50" s="2" t="str">
        <x:v>Semanal</x:v>
      </x:c>
      <x:c r="E50" s="10" t="str">
        <x:v>Sí</x:v>
      </x:c>
      <x:c r="F50" s="10" t="str">
        <x:v>Por asignar</x:v>
      </x:c>
      <x:c r="G50" s="10" t="n">
        <x:v>9</x:v>
      </x:c>
      <x:c r="H50" s="13" t="n">
        <x:f>IF(E50="No","",IF(OR('Configuración'!$B$10&gt;'Configuración'!$B$9,EOMONTH('Configuración'!$B$10,0)&lt;'Configuración'!$B$8),"",MAX('Configuración'!$B$8,MIN('Configuración'!$B$9,WORKDAY('Configuración'!$B$10-1,G50)))))</x:f>
        <x:v>46338</x:v>
      </x:c>
      <x:c r="I50" s="10" t="str">
        <x:v>Pendiente</x:v>
      </x:c>
      <x:c r="J50" s="10" t="str"/>
      <x:c r="K50" s="10" t="str">
        <x:v>Pendiente</x:v>
      </x:c>
      <x:c r="L50" s="10" t="str">
        <x:v>Pendiente</x:v>
      </x:c>
      <x:c r="M50" s="11"/>
      <x:c r="N50" s="2" t="str">
        <x:f>IF(E50="No","Fuera de alcance",IF(H50="","Fuera del contrato",IF(AND(I50="No aplica",J50&lt;&gt;"",K50="Validada"),"No aplica justificado",IF(AND(I50="Realizado",J50&lt;&gt;"",K50="Validada",L50="Aceptado",ISNUMBER(M50)),"Completo",IF(AND(I50="Controlado sin novedad",J50&lt;&gt;"",K50="Validada",ISNUMBER(M50)),"Controlado",IF('Configuración'!$B$11&gt;H50,"Vencido","Pendiente"))))))</x:f>
        <x:v>Pendiente</x:v>
      </x:c>
      <x:c r="O50" s="15"/>
      <x:c r="P50" s="15"/>
    </x:row>
    <x:row r="51" ht="48" customHeight="1">
      <x:c r="A51" s="2" t="n">
        <x:v>44</x:v>
      </x:c>
      <x:c r="B51" s="16" t="str">
        <x:v>Análisis asistido de estados de cuenta</x:v>
      </x:c>
      <x:c r="C51" s="2" t="str">
        <x:v>Contabilidad auxiliar</x:v>
      </x:c>
      <x:c r="D51" s="2" t="str">
        <x:v>Diaria</x:v>
      </x:c>
      <x:c r="E51" s="10" t="str">
        <x:v>Sí</x:v>
      </x:c>
      <x:c r="F51" s="10" t="str">
        <x:v>Por asignar</x:v>
      </x:c>
      <x:c r="G51" s="10" t="n">
        <x:v>9</x:v>
      </x:c>
      <x:c r="H51" s="13" t="n">
        <x:f>IF(E51="No","",IF(OR('Configuración'!$B$10&gt;'Configuración'!$B$9,EOMONTH('Configuración'!$B$10,0)&lt;'Configuración'!$B$8),"",MAX('Configuración'!$B$8,MIN('Configuración'!$B$9,WORKDAY('Configuración'!$B$10-1,G51)))))</x:f>
        <x:v>46338</x:v>
      </x:c>
      <x:c r="I51" s="10" t="str">
        <x:v>Pendiente</x:v>
      </x:c>
      <x:c r="J51" s="10" t="str"/>
      <x:c r="K51" s="10" t="str">
        <x:v>Pendiente</x:v>
      </x:c>
      <x:c r="L51" s="10" t="str">
        <x:v>Pendiente</x:v>
      </x:c>
      <x:c r="M51" s="11"/>
      <x:c r="N51" s="2" t="str">
        <x:f>IF(E51="No","Fuera de alcance",IF(H51="","Fuera del contrato",IF(AND(I51="No aplica",J51&lt;&gt;"",K51="Validada"),"No aplica justificado",IF(AND(I51="Realizado",J51&lt;&gt;"",K51="Validada",L51="Aceptado",ISNUMBER(M51)),"Completo",IF(AND(I51="Controlado sin novedad",J51&lt;&gt;"",K51="Validada",ISNUMBER(M51)),"Controlado",IF('Configuración'!$B$11&gt;H51,"Vencido","Pendiente"))))))</x:f>
        <x:v>Pendiente</x:v>
      </x:c>
      <x:c r="O51" s="15"/>
      <x:c r="P51" s="15"/>
    </x:row>
    <x:row r="52" ht="48" customHeight="1">
      <x:c r="A52" s="2" t="n">
        <x:v>45</x:v>
      </x:c>
      <x:c r="B52" s="16" t="str">
        <x:v>Conciliación bancaria asistida</x:v>
      </x:c>
      <x:c r="C52" s="2" t="str">
        <x:v>Contabilidad auxiliar</x:v>
      </x:c>
      <x:c r="D52" s="2" t="str">
        <x:v>Mensual</x:v>
      </x:c>
      <x:c r="E52" s="10" t="str">
        <x:v>Sí</x:v>
      </x:c>
      <x:c r="F52" s="10" t="str">
        <x:v>Por asignar</x:v>
      </x:c>
      <x:c r="G52" s="10" t="n">
        <x:v>9</x:v>
      </x:c>
      <x:c r="H52" s="13" t="n">
        <x:f>IF(E52="No","",IF(OR('Configuración'!$B$10&gt;'Configuración'!$B$9,EOMONTH('Configuración'!$B$10,0)&lt;'Configuración'!$B$8),"",MAX('Configuración'!$B$8,MIN('Configuración'!$B$9,WORKDAY('Configuración'!$B$10-1,G52)))))</x:f>
        <x:v>46338</x:v>
      </x:c>
      <x:c r="I52" s="10" t="str">
        <x:v>Pendiente</x:v>
      </x:c>
      <x:c r="J52" s="10" t="str"/>
      <x:c r="K52" s="10" t="str">
        <x:v>Pendiente</x:v>
      </x:c>
      <x:c r="L52" s="10" t="str">
        <x:v>Pendiente</x:v>
      </x:c>
      <x:c r="M52" s="11"/>
      <x:c r="N52" s="2" t="str">
        <x:f>IF(E52="No","Fuera de alcance",IF(H52="","Fuera del contrato",IF(AND(I52="No aplica",J52&lt;&gt;"",K52="Validada"),"No aplica justificado",IF(AND(I52="Realizado",J52&lt;&gt;"",K52="Validada",L52="Aceptado",ISNUMBER(M52)),"Completo",IF(AND(I52="Controlado sin novedad",J52&lt;&gt;"",K52="Validada",ISNUMBER(M52)),"Controlado",IF('Configuración'!$B$11&gt;H52,"Vencido","Pendiente"))))))</x:f>
        <x:v>Pendiente</x:v>
      </x:c>
      <x:c r="O52" s="15"/>
      <x:c r="P52" s="15"/>
    </x:row>
    <x:row r="53" ht="48" customHeight="1">
      <x:c r="A53" s="2" t="n">
        <x:v>46</x:v>
      </x:c>
      <x:c r="B53" s="16" t="str">
        <x:v>Detección de movimientos duplicados o inusuales</x:v>
      </x:c>
      <x:c r="C53" s="2" t="str">
        <x:v>Contabilidad auxiliar</x:v>
      </x:c>
      <x:c r="D53" s="2" t="str">
        <x:v>Semanal</x:v>
      </x:c>
      <x:c r="E53" s="10" t="str">
        <x:v>Sí</x:v>
      </x:c>
      <x:c r="F53" s="10" t="str">
        <x:v>Por asignar</x:v>
      </x:c>
      <x:c r="G53" s="10" t="n">
        <x:v>9</x:v>
      </x:c>
      <x:c r="H53" s="13" t="n">
        <x:f>IF(E53="No","",IF(OR('Configuración'!$B$10&gt;'Configuración'!$B$9,EOMONTH('Configuración'!$B$10,0)&lt;'Configuración'!$B$8),"",MAX('Configuración'!$B$8,MIN('Configuración'!$B$9,WORKDAY('Configuración'!$B$10-1,G53)))))</x:f>
        <x:v>46338</x:v>
      </x:c>
      <x:c r="I53" s="10" t="str">
        <x:v>Pendiente</x:v>
      </x:c>
      <x:c r="J53" s="10" t="str"/>
      <x:c r="K53" s="10" t="str">
        <x:v>Pendiente</x:v>
      </x:c>
      <x:c r="L53" s="10" t="str">
        <x:v>Pendiente</x:v>
      </x:c>
      <x:c r="M53" s="11"/>
      <x:c r="N53" s="2" t="str">
        <x:f>IF(E53="No","Fuera de alcance",IF(H53="","Fuera del contrato",IF(AND(I53="No aplica",J53&lt;&gt;"",K53="Validada"),"No aplica justificado",IF(AND(I53="Realizado",J53&lt;&gt;"",K53="Validada",L53="Aceptado",ISNUMBER(M53)),"Completo",IF(AND(I53="Controlado sin novedad",J53&lt;&gt;"",K53="Validada",ISNUMBER(M53)),"Controlado",IF('Configuración'!$B$11&gt;H53,"Vencido","Pendiente"))))))</x:f>
        <x:v>Pendiente</x:v>
      </x:c>
      <x:c r="O53" s="15"/>
      <x:c r="P53" s="15"/>
    </x:row>
    <x:row r="54" ht="48" customHeight="1">
      <x:c r="A54" s="2" t="n">
        <x:v>47</x:v>
      </x:c>
      <x:c r="B54" s="16" t="str">
        <x:v>Resumen diario de tesorería</x:v>
      </x:c>
      <x:c r="C54" s="2" t="str">
        <x:v>Economía y finanzas</x:v>
      </x:c>
      <x:c r="D54" s="2" t="str">
        <x:v>Diaria</x:v>
      </x:c>
      <x:c r="E54" s="10" t="str">
        <x:v>Sí</x:v>
      </x:c>
      <x:c r="F54" s="10" t="str">
        <x:v>Por asignar</x:v>
      </x:c>
      <x:c r="G54" s="10" t="n">
        <x:v>6</x:v>
      </x:c>
      <x:c r="H54" s="13" t="n">
        <x:f>IF(E54="No","",IF(OR('Configuración'!$B$10&gt;'Configuración'!$B$9,EOMONTH('Configuración'!$B$10,0)&lt;'Configuración'!$B$8),"",MAX('Configuración'!$B$8,MIN('Configuración'!$B$9,WORKDAY('Configuración'!$B$10-1,G54)))))</x:f>
        <x:v>46335</x:v>
      </x:c>
      <x:c r="I54" s="10" t="str">
        <x:v>Pendiente</x:v>
      </x:c>
      <x:c r="J54" s="10" t="str"/>
      <x:c r="K54" s="10" t="str">
        <x:v>Pendiente</x:v>
      </x:c>
      <x:c r="L54" s="10" t="str">
        <x:v>Pendiente</x:v>
      </x:c>
      <x:c r="M54" s="11"/>
      <x:c r="N54" s="2" t="str">
        <x:f>IF(E54="No","Fuera de alcance",IF(H54="","Fuera del contrato",IF(AND(I54="No aplica",J54&lt;&gt;"",K54="Validada"),"No aplica justificado",IF(AND(I54="Realizado",J54&lt;&gt;"",K54="Validada",L54="Aceptado",ISNUMBER(M54)),"Completo",IF(AND(I54="Controlado sin novedad",J54&lt;&gt;"",K54="Validada",ISNUMBER(M54)),"Controlado",IF('Configuración'!$B$11&gt;H54,"Vencido","Pendiente"))))))</x:f>
        <x:v>Pendiente</x:v>
      </x:c>
      <x:c r="O54" s="15"/>
      <x:c r="P54" s="15"/>
    </x:row>
    <x:row r="55" ht="48" customHeight="1">
      <x:c r="A55" s="2" t="n">
        <x:v>48</x:v>
      </x:c>
      <x:c r="B55" s="16" t="str">
        <x:v>Proyección de liquidez</x:v>
      </x:c>
      <x:c r="C55" s="2" t="str">
        <x:v>Economía y finanzas</x:v>
      </x:c>
      <x:c r="D55" s="2" t="str">
        <x:v>Semanal</x:v>
      </x:c>
      <x:c r="E55" s="10" t="str">
        <x:v>Sí</x:v>
      </x:c>
      <x:c r="F55" s="10" t="str">
        <x:v>Por asignar</x:v>
      </x:c>
      <x:c r="G55" s="10" t="n">
        <x:v>6</x:v>
      </x:c>
      <x:c r="H55" s="13" t="n">
        <x:f>IF(E55="No","",IF(OR('Configuración'!$B$10&gt;'Configuración'!$B$9,EOMONTH('Configuración'!$B$10,0)&lt;'Configuración'!$B$8),"",MAX('Configuración'!$B$8,MIN('Configuración'!$B$9,WORKDAY('Configuración'!$B$10-1,G55)))))</x:f>
        <x:v>46335</x:v>
      </x:c>
      <x:c r="I55" s="10" t="str">
        <x:v>Pendiente</x:v>
      </x:c>
      <x:c r="J55" s="10" t="str"/>
      <x:c r="K55" s="10" t="str">
        <x:v>Pendiente</x:v>
      </x:c>
      <x:c r="L55" s="10" t="str">
        <x:v>Pendiente</x:v>
      </x:c>
      <x:c r="M55" s="11"/>
      <x:c r="N55" s="2" t="str">
        <x:f>IF(E55="No","Fuera de alcance",IF(H55="","Fuera del contrato",IF(AND(I55="No aplica",J55&lt;&gt;"",K55="Validada"),"No aplica justificado",IF(AND(I55="Realizado",J55&lt;&gt;"",K55="Validada",L55="Aceptado",ISNUMBER(M55)),"Completo",IF(AND(I55="Controlado sin novedad",J55&lt;&gt;"",K55="Validada",ISNUMBER(M55)),"Controlado",IF('Configuración'!$B$11&gt;H55,"Vencido","Pendiente"))))))</x:f>
        <x:v>Pendiente</x:v>
      </x:c>
      <x:c r="O55" s="15"/>
      <x:c r="P55" s="15"/>
    </x:row>
    <x:row r="56" ht="48" customHeight="1">
      <x:c r="A56" s="2" t="n">
        <x:v>49</x:v>
      </x:c>
      <x:c r="B56" s="16" t="str">
        <x:v>Investigación de operaciones</x:v>
      </x:c>
      <x:c r="C56" s="2" t="str">
        <x:v>Contabilidad auxiliar</x:v>
      </x:c>
      <x:c r="D56" s="2" t="str">
        <x:v>Semanal</x:v>
      </x:c>
      <x:c r="E56" s="10" t="str">
        <x:v>Sí</x:v>
      </x:c>
      <x:c r="F56" s="10" t="str">
        <x:v>Por asignar</x:v>
      </x:c>
      <x:c r="G56" s="10" t="n">
        <x:v>9</x:v>
      </x:c>
      <x:c r="H56" s="13" t="n">
        <x:f>IF(E56="No","",IF(OR('Configuración'!$B$10&gt;'Configuración'!$B$9,EOMONTH('Configuración'!$B$10,0)&lt;'Configuración'!$B$8),"",MAX('Configuración'!$B$8,MIN('Configuración'!$B$9,WORKDAY('Configuración'!$B$10-1,G56)))))</x:f>
        <x:v>46338</x:v>
      </x:c>
      <x:c r="I56" s="10" t="str">
        <x:v>Pendiente</x:v>
      </x:c>
      <x:c r="J56" s="10" t="str"/>
      <x:c r="K56" s="10" t="str">
        <x:v>Pendiente</x:v>
      </x:c>
      <x:c r="L56" s="10" t="str">
        <x:v>Pendiente</x:v>
      </x:c>
      <x:c r="M56" s="11"/>
      <x:c r="N56" s="2" t="str">
        <x:f>IF(E56="No","Fuera de alcance",IF(H56="","Fuera del contrato",IF(AND(I56="No aplica",J56&lt;&gt;"",K56="Validada"),"No aplica justificado",IF(AND(I56="Realizado",J56&lt;&gt;"",K56="Validada",L56="Aceptado",ISNUMBER(M56)),"Completo",IF(AND(I56="Controlado sin novedad",J56&lt;&gt;"",K56="Validada",ISNUMBER(M56)),"Controlado",IF('Configuración'!$B$11&gt;H56,"Vencido","Pendiente"))))))</x:f>
        <x:v>Pendiente</x:v>
      </x:c>
      <x:c r="O56" s="15"/>
      <x:c r="P56" s="15"/>
    </x:row>
    <x:row r="57" ht="48" customHeight="1">
      <x:c r="A57" s="2" t="n">
        <x:v>50</x:v>
      </x:c>
      <x:c r="B57" s="16" t="str">
        <x:v>Análisis financiero periódico</x:v>
      </x:c>
      <x:c r="C57" s="2" t="str">
        <x:v>Economía y finanzas</x:v>
      </x:c>
      <x:c r="D57" s="2" t="str">
        <x:v>Mensual</x:v>
      </x:c>
      <x:c r="E57" s="10" t="str">
        <x:v>Sí</x:v>
      </x:c>
      <x:c r="F57" s="10" t="str">
        <x:v>Por asignar</x:v>
      </x:c>
      <x:c r="G57" s="10" t="n">
        <x:v>6</x:v>
      </x:c>
      <x:c r="H57" s="13" t="n">
        <x:f>IF(E57="No","",IF(OR('Configuración'!$B$10&gt;'Configuración'!$B$9,EOMONTH('Configuración'!$B$10,0)&lt;'Configuración'!$B$8),"",MAX('Configuración'!$B$8,MIN('Configuración'!$B$9,WORKDAY('Configuración'!$B$10-1,G57)))))</x:f>
        <x:v>46335</x:v>
      </x:c>
      <x:c r="I57" s="10" t="str">
        <x:v>Pendiente</x:v>
      </x:c>
      <x:c r="J57" s="10" t="str"/>
      <x:c r="K57" s="10" t="str">
        <x:v>Pendiente</x:v>
      </x:c>
      <x:c r="L57" s="10" t="str">
        <x:v>Pendiente</x:v>
      </x:c>
      <x:c r="M57" s="11"/>
      <x:c r="N57" s="2" t="str">
        <x:f>IF(E57="No","Fuera de alcance",IF(H57="","Fuera del contrato",IF(AND(I57="No aplica",J57&lt;&gt;"",K57="Validada"),"No aplica justificado",IF(AND(I57="Realizado",J57&lt;&gt;"",K57="Validada",L57="Aceptado",ISNUMBER(M57)),"Completo",IF(AND(I57="Controlado sin novedad",J57&lt;&gt;"",K57="Validada",ISNUMBER(M57)),"Controlado",IF('Configuración'!$B$11&gt;H57,"Vencido","Pendiente"))))))</x:f>
        <x:v>Pendiente</x:v>
      </x:c>
      <x:c r="O57" s="15"/>
      <x:c r="P57" s="15"/>
    </x:row>
    <x:row r="58" ht="48" customHeight="1">
      <x:c r="A58" s="2" t="n">
        <x:v>51</x:v>
      </x:c>
      <x:c r="B58" s="16" t="str">
        <x:v>Elaboración de presupuestos</x:v>
      </x:c>
      <x:c r="C58" s="2" t="str">
        <x:v>Presupuestos y costos</x:v>
      </x:c>
      <x:c r="D58" s="2" t="str">
        <x:v>Mensual</x:v>
      </x:c>
      <x:c r="E58" s="10" t="str">
        <x:v>Sí</x:v>
      </x:c>
      <x:c r="F58" s="10" t="str">
        <x:v>Por asignar</x:v>
      </x:c>
      <x:c r="G58" s="10" t="n">
        <x:v>7</x:v>
      </x:c>
      <x:c r="H58" s="13" t="n">
        <x:f>IF(E58="No","",IF(OR('Configuración'!$B$10&gt;'Configuración'!$B$9,EOMONTH('Configuración'!$B$10,0)&lt;'Configuración'!$B$8),"",MAX('Configuración'!$B$8,MIN('Configuración'!$B$9,WORKDAY('Configuración'!$B$10-1,G58)))))</x:f>
        <x:v>46336</x:v>
      </x:c>
      <x:c r="I58" s="10" t="str">
        <x:v>Pendiente</x:v>
      </x:c>
      <x:c r="J58" s="10" t="str"/>
      <x:c r="K58" s="10" t="str">
        <x:v>Pendiente</x:v>
      </x:c>
      <x:c r="L58" s="10" t="str">
        <x:v>Pendiente</x:v>
      </x:c>
      <x:c r="M58" s="11"/>
      <x:c r="N58" s="2" t="str">
        <x:f>IF(E58="No","Fuera de alcance",IF(H58="","Fuera del contrato",IF(AND(I58="No aplica",J58&lt;&gt;"",K58="Validada"),"No aplica justificado",IF(AND(I58="Realizado",J58&lt;&gt;"",K58="Validada",L58="Aceptado",ISNUMBER(M58)),"Completo",IF(AND(I58="Controlado sin novedad",J58&lt;&gt;"",K58="Validada",ISNUMBER(M58)),"Controlado",IF('Configuración'!$B$11&gt;H58,"Vencido","Pendiente"))))))</x:f>
        <x:v>Pendiente</x:v>
      </x:c>
      <x:c r="O58" s="15"/>
      <x:c r="P58" s="15"/>
    </x:row>
    <x:row r="59" ht="48" customHeight="1">
      <x:c r="A59" s="2" t="n">
        <x:v>52</x:v>
      </x:c>
      <x:c r="B59" s="16" t="str">
        <x:v>Control presupuestario</x:v>
      </x:c>
      <x:c r="C59" s="2" t="str">
        <x:v>Presupuestos y costos</x:v>
      </x:c>
      <x:c r="D59" s="2" t="str">
        <x:v>Mensual</x:v>
      </x:c>
      <x:c r="E59" s="10" t="str">
        <x:v>Sí</x:v>
      </x:c>
      <x:c r="F59" s="10" t="str">
        <x:v>Por asignar</x:v>
      </x:c>
      <x:c r="G59" s="10" t="n">
        <x:v>7</x:v>
      </x:c>
      <x:c r="H59" s="13" t="n">
        <x:f>IF(E59="No","",IF(OR('Configuración'!$B$10&gt;'Configuración'!$B$9,EOMONTH('Configuración'!$B$10,0)&lt;'Configuración'!$B$8),"",MAX('Configuración'!$B$8,MIN('Configuración'!$B$9,WORKDAY('Configuración'!$B$10-1,G59)))))</x:f>
        <x:v>46336</x:v>
      </x:c>
      <x:c r="I59" s="10" t="str">
        <x:v>Pendiente</x:v>
      </x:c>
      <x:c r="J59" s="10" t="str"/>
      <x:c r="K59" s="10" t="str">
        <x:v>Pendiente</x:v>
      </x:c>
      <x:c r="L59" s="10" t="str">
        <x:v>Pendiente</x:v>
      </x:c>
      <x:c r="M59" s="11"/>
      <x:c r="N59" s="2" t="str">
        <x:f>IF(E59="No","Fuera de alcance",IF(H59="","Fuera del contrato",IF(AND(I59="No aplica",J59&lt;&gt;"",K59="Validada"),"No aplica justificado",IF(AND(I59="Realizado",J59&lt;&gt;"",K59="Validada",L59="Aceptado",ISNUMBER(M59)),"Completo",IF(AND(I59="Controlado sin novedad",J59&lt;&gt;"",K59="Validada",ISNUMBER(M59)),"Controlado",IF('Configuración'!$B$11&gt;H59,"Vencido","Pendiente"))))))</x:f>
        <x:v>Pendiente</x:v>
      </x:c>
      <x:c r="O59" s="15"/>
      <x:c r="P59" s="15"/>
    </x:row>
    <x:row r="60" ht="48" customHeight="1">
      <x:c r="A60" s="2" t="n">
        <x:v>53</x:v>
      </x:c>
      <x:c r="B60" s="16" t="str">
        <x:v>Cálculo y análisis de costos</x:v>
      </x:c>
      <x:c r="C60" s="2" t="str">
        <x:v>Presupuestos y costos</x:v>
      </x:c>
      <x:c r="D60" s="2" t="str">
        <x:v>Mensual</x:v>
      </x:c>
      <x:c r="E60" s="10" t="str">
        <x:v>Sí</x:v>
      </x:c>
      <x:c r="F60" s="10" t="str">
        <x:v>Por asignar</x:v>
      </x:c>
      <x:c r="G60" s="10" t="n">
        <x:v>7</x:v>
      </x:c>
      <x:c r="H60" s="13" t="n">
        <x:f>IF(E60="No","",IF(OR('Configuración'!$B$10&gt;'Configuración'!$B$9,EOMONTH('Configuración'!$B$10,0)&lt;'Configuración'!$B$8),"",MAX('Configuración'!$B$8,MIN('Configuración'!$B$9,WORKDAY('Configuración'!$B$10-1,G60)))))</x:f>
        <x:v>46336</x:v>
      </x:c>
      <x:c r="I60" s="10" t="str">
        <x:v>Pendiente</x:v>
      </x:c>
      <x:c r="J60" s="10" t="str"/>
      <x:c r="K60" s="10" t="str">
        <x:v>Pendiente</x:v>
      </x:c>
      <x:c r="L60" s="10" t="str">
        <x:v>Pendiente</x:v>
      </x:c>
      <x:c r="M60" s="11"/>
      <x:c r="N60" s="2" t="str">
        <x:f>IF(E60="No","Fuera de alcance",IF(H60="","Fuera del contrato",IF(AND(I60="No aplica",J60&lt;&gt;"",K60="Validada"),"No aplica justificado",IF(AND(I60="Realizado",J60&lt;&gt;"",K60="Validada",L60="Aceptado",ISNUMBER(M60)),"Completo",IF(AND(I60="Controlado sin novedad",J60&lt;&gt;"",K60="Validada",ISNUMBER(M60)),"Controlado",IF('Configuración'!$B$11&gt;H60,"Vencido","Pendiente"))))))</x:f>
        <x:v>Pendiente</x:v>
      </x:c>
      <x:c r="O60" s="15"/>
      <x:c r="P60" s="15"/>
    </x:row>
    <x:row r="61" ht="48" customHeight="1">
      <x:c r="A61" s="2" t="n">
        <x:v>54</x:v>
      </x:c>
      <x:c r="B61" s="16" t="str">
        <x:v>Análisis de rentabilidad</x:v>
      </x:c>
      <x:c r="C61" s="2" t="str">
        <x:v>Presupuestos y costos</x:v>
      </x:c>
      <x:c r="D61" s="2" t="str">
        <x:v>Mensual</x:v>
      </x:c>
      <x:c r="E61" s="10" t="str">
        <x:v>Sí</x:v>
      </x:c>
      <x:c r="F61" s="10" t="str">
        <x:v>Por asignar</x:v>
      </x:c>
      <x:c r="G61" s="10" t="n">
        <x:v>7</x:v>
      </x:c>
      <x:c r="H61" s="13" t="n">
        <x:f>IF(E61="No","",IF(OR('Configuración'!$B$10&gt;'Configuración'!$B$9,EOMONTH('Configuración'!$B$10,0)&lt;'Configuración'!$B$8),"",MAX('Configuración'!$B$8,MIN('Configuración'!$B$9,WORKDAY('Configuración'!$B$10-1,G61)))))</x:f>
        <x:v>46336</x:v>
      </x:c>
      <x:c r="I61" s="10" t="str">
        <x:v>Pendiente</x:v>
      </x:c>
      <x:c r="J61" s="10" t="str"/>
      <x:c r="K61" s="10" t="str">
        <x:v>Pendiente</x:v>
      </x:c>
      <x:c r="L61" s="10" t="str">
        <x:v>Pendiente</x:v>
      </x:c>
      <x:c r="M61" s="11"/>
      <x:c r="N61" s="2" t="str">
        <x:f>IF(E61="No","Fuera de alcance",IF(H61="","Fuera del contrato",IF(AND(I61="No aplica",J61&lt;&gt;"",K61="Validada"),"No aplica justificado",IF(AND(I61="Realizado",J61&lt;&gt;"",K61="Validada",L61="Aceptado",ISNUMBER(M61)),"Completo",IF(AND(I61="Controlado sin novedad",J61&lt;&gt;"",K61="Validada",ISNUMBER(M61)),"Controlado",IF('Configuración'!$B$11&gt;H61,"Vencido","Pendiente"))))))</x:f>
        <x:v>Pendiente</x:v>
      </x:c>
      <x:c r="O61" s="15"/>
      <x:c r="P61" s="15"/>
    </x:row>
    <x:row r="62" ht="48" customHeight="1">
      <x:c r="A62" s="2" t="n">
        <x:v>55</x:v>
      </x:c>
      <x:c r="B62" s="16" t="str">
        <x:v>Evaluación de escenarios</x:v>
      </x:c>
      <x:c r="C62" s="2" t="str">
        <x:v>Economía y finanzas</x:v>
      </x:c>
      <x:c r="D62" s="2" t="str">
        <x:v>Mensual</x:v>
      </x:c>
      <x:c r="E62" s="10" t="str">
        <x:v>Sí</x:v>
      </x:c>
      <x:c r="F62" s="10" t="str">
        <x:v>Por asignar</x:v>
      </x:c>
      <x:c r="G62" s="10" t="n">
        <x:v>6</x:v>
      </x:c>
      <x:c r="H62" s="13" t="n">
        <x:f>IF(E62="No","",IF(OR('Configuración'!$B$10&gt;'Configuración'!$B$9,EOMONTH('Configuración'!$B$10,0)&lt;'Configuración'!$B$8),"",MAX('Configuración'!$B$8,MIN('Configuración'!$B$9,WORKDAY('Configuración'!$B$10-1,G62)))))</x:f>
        <x:v>46335</x:v>
      </x:c>
      <x:c r="I62" s="10" t="str">
        <x:v>Pendiente</x:v>
      </x:c>
      <x:c r="J62" s="10" t="str"/>
      <x:c r="K62" s="10" t="str">
        <x:v>Pendiente</x:v>
      </x:c>
      <x:c r="L62" s="10" t="str">
        <x:v>Pendiente</x:v>
      </x:c>
      <x:c r="M62" s="11"/>
      <x:c r="N62" s="2" t="str">
        <x:f>IF(E62="No","Fuera de alcance",IF(H62="","Fuera del contrato",IF(AND(I62="No aplica",J62&lt;&gt;"",K62="Validada"),"No aplica justificado",IF(AND(I62="Realizado",J62&lt;&gt;"",K62="Validada",L62="Aceptado",ISNUMBER(M62)),"Completo",IF(AND(I62="Controlado sin novedad",J62&lt;&gt;"",K62="Validada",ISNUMBER(M62)),"Controlado",IF('Configuración'!$B$11&gt;H62,"Vencido","Pendiente"))))))</x:f>
        <x:v>Pendiente</x:v>
      </x:c>
      <x:c r="O62" s="15"/>
      <x:c r="P62" s="15"/>
    </x:row>
    <x:row r="63" ht="48" customHeight="1">
      <x:c r="A63" s="2" t="n">
        <x:v>56</x:v>
      </x:c>
      <x:c r="B63" s="16" t="str">
        <x:v>Preparación de expedientes de financiamiento</x:v>
      </x:c>
      <x:c r="C63" s="2" t="str">
        <x:v>Factibilidad</x:v>
      </x:c>
      <x:c r="D63" s="2" t="str">
        <x:v>Bajo demanda</x:v>
      </x:c>
      <x:c r="E63" s="10" t="str">
        <x:v>Sí</x:v>
      </x:c>
      <x:c r="F63" s="10" t="str">
        <x:v>Por asignar</x:v>
      </x:c>
      <x:c r="G63" s="10" t="n">
        <x:v>8</x:v>
      </x:c>
      <x:c r="H63" s="13" t="n">
        <x:f>IF(E63="No","",IF(OR('Configuración'!$B$10&gt;'Configuración'!$B$9,EOMONTH('Configuración'!$B$10,0)&lt;'Configuración'!$B$8),"",MAX('Configuración'!$B$8,MIN('Configuración'!$B$9,WORKDAY('Configuración'!$B$10-1,G63)))))</x:f>
        <x:v>46337</x:v>
      </x:c>
      <x:c r="I63" s="10" t="str">
        <x:v>Pendiente</x:v>
      </x:c>
      <x:c r="J63" s="10" t="str"/>
      <x:c r="K63" s="10" t="str">
        <x:v>Pendiente</x:v>
      </x:c>
      <x:c r="L63" s="10" t="str">
        <x:v>Pendiente</x:v>
      </x:c>
      <x:c r="M63" s="11"/>
      <x:c r="N63" s="2" t="str">
        <x:f>IF(E63="No","Fuera de alcance",IF(H63="","Fuera del contrato",IF(AND(I63="No aplica",J63&lt;&gt;"",K63="Validada"),"No aplica justificado",IF(AND(I63="Realizado",J63&lt;&gt;"",K63="Validada",L63="Aceptado",ISNUMBER(M63)),"Completo",IF(AND(I63="Controlado sin novedad",J63&lt;&gt;"",K63="Validada",ISNUMBER(M63)),"Controlado",IF('Configuración'!$B$11&gt;H63,"Vencido","Pendiente"))))))</x:f>
        <x:v>Pendiente</x:v>
      </x:c>
      <x:c r="O63" s="15"/>
      <x:c r="P63" s="15"/>
    </x:row>
    <x:row r="64" ht="48" customHeight="1">
      <x:c r="A64" s="2" t="n">
        <x:v>57</x:v>
      </x:c>
      <x:c r="B64" s="16" t="str">
        <x:v>Calendario tributario personalizado</x:v>
      </x:c>
      <x:c r="C64" s="2" t="str">
        <x:v>Tributos y aportes</x:v>
      </x:c>
      <x:c r="D64" s="2" t="str">
        <x:v>Semanal</x:v>
      </x:c>
      <x:c r="E64" s="10" t="str">
        <x:v>Sí</x:v>
      </x:c>
      <x:c r="F64" s="10" t="str">
        <x:v>Por asignar</x:v>
      </x:c>
      <x:c r="G64" s="10" t="n">
        <x:v>9</x:v>
      </x:c>
      <x:c r="H64" s="13" t="n">
        <x:f>IF(E64="No","",IF(OR('Configuración'!$B$10&gt;'Configuración'!$B$9,EOMONTH('Configuración'!$B$10,0)&lt;'Configuración'!$B$8),"",MAX('Configuración'!$B$8,MIN('Configuración'!$B$9,WORKDAY('Configuración'!$B$10-1,G64)))))</x:f>
        <x:v>46338</x:v>
      </x:c>
      <x:c r="I64" s="10" t="str">
        <x:v>Pendiente</x:v>
      </x:c>
      <x:c r="J64" s="10" t="str"/>
      <x:c r="K64" s="10" t="str">
        <x:v>Pendiente</x:v>
      </x:c>
      <x:c r="L64" s="10" t="str">
        <x:v>Pendiente</x:v>
      </x:c>
      <x:c r="M64" s="11"/>
      <x:c r="N64" s="2" t="str">
        <x:f>IF(E64="No","Fuera de alcance",IF(H64="","Fuera del contrato",IF(AND(I64="No aplica",J64&lt;&gt;"",K64="Validada"),"No aplica justificado",IF(AND(I64="Realizado",J64&lt;&gt;"",K64="Validada",L64="Aceptado",ISNUMBER(M64)),"Completo",IF(AND(I64="Controlado sin novedad",J64&lt;&gt;"",K64="Validada",ISNUMBER(M64)),"Controlado",IF('Configuración'!$B$11&gt;H64,"Vencido","Pendiente"))))))</x:f>
        <x:v>Pendiente</x:v>
      </x:c>
      <x:c r="O64" s="15"/>
      <x:c r="P64" s="15"/>
    </x:row>
    <x:row r="65" ht="48" customHeight="1">
      <x:c r="A65" s="2" t="n">
        <x:v>58</x:v>
      </x:c>
      <x:c r="B65" s="16" t="str">
        <x:v>Revisión de aportes y tributos</x:v>
      </x:c>
      <x:c r="C65" s="2" t="str">
        <x:v>Tributos y aportes</x:v>
      </x:c>
      <x:c r="D65" s="2" t="str">
        <x:v>Mensual</x:v>
      </x:c>
      <x:c r="E65" s="10" t="str">
        <x:v>Sí</x:v>
      </x:c>
      <x:c r="F65" s="10" t="str">
        <x:v>Por asignar</x:v>
      </x:c>
      <x:c r="G65" s="10" t="n">
        <x:v>9</x:v>
      </x:c>
      <x:c r="H65" s="13" t="n">
        <x:f>IF(E65="No","",IF(OR('Configuración'!$B$10&gt;'Configuración'!$B$9,EOMONTH('Configuración'!$B$10,0)&lt;'Configuración'!$B$8),"",MAX('Configuración'!$B$8,MIN('Configuración'!$B$9,WORKDAY('Configuración'!$B$10-1,G65)))))</x:f>
        <x:v>46338</x:v>
      </x:c>
      <x:c r="I65" s="10" t="str">
        <x:v>Pendiente</x:v>
      </x:c>
      <x:c r="J65" s="10" t="str"/>
      <x:c r="K65" s="10" t="str">
        <x:v>Pendiente</x:v>
      </x:c>
      <x:c r="L65" s="10" t="str">
        <x:v>Pendiente</x:v>
      </x:c>
      <x:c r="M65" s="11"/>
      <x:c r="N65" s="2" t="str">
        <x:f>IF(E65="No","Fuera de alcance",IF(H65="","Fuera del contrato",IF(AND(I65="No aplica",J65&lt;&gt;"",K65="Validada"),"No aplica justificado",IF(AND(I65="Realizado",J65&lt;&gt;"",K65="Validada",L65="Aceptado",ISNUMBER(M65)),"Completo",IF(AND(I65="Controlado sin novedad",J65&lt;&gt;"",K65="Validada",ISNUMBER(M65)),"Controlado",IF('Configuración'!$B$11&gt;H65,"Vencido","Pendiente"))))))</x:f>
        <x:v>Pendiente</x:v>
      </x:c>
      <x:c r="O65" s="15"/>
      <x:c r="P65" s="15"/>
    </x:row>
    <x:row r="66" ht="48" customHeight="1">
      <x:c r="A66" s="2" t="n">
        <x:v>59</x:v>
      </x:c>
      <x:c r="B66" s="16" t="str">
        <x:v>Conciliación fiscal contable</x:v>
      </x:c>
      <x:c r="C66" s="2" t="str">
        <x:v>Tributos y aportes</x:v>
      </x:c>
      <x:c r="D66" s="2" t="str">
        <x:v>Mensual</x:v>
      </x:c>
      <x:c r="E66" s="10" t="str">
        <x:v>Sí</x:v>
      </x:c>
      <x:c r="F66" s="10" t="str">
        <x:v>Por asignar</x:v>
      </x:c>
      <x:c r="G66" s="10" t="n">
        <x:v>9</x:v>
      </x:c>
      <x:c r="H66" s="13" t="n">
        <x:f>IF(E66="No","",IF(OR('Configuración'!$B$10&gt;'Configuración'!$B$9,EOMONTH('Configuración'!$B$10,0)&lt;'Configuración'!$B$8),"",MAX('Configuración'!$B$8,MIN('Configuración'!$B$9,WORKDAY('Configuración'!$B$10-1,G66)))))</x:f>
        <x:v>46338</x:v>
      </x:c>
      <x:c r="I66" s="10" t="str">
        <x:v>Pendiente</x:v>
      </x:c>
      <x:c r="J66" s="10" t="str"/>
      <x:c r="K66" s="10" t="str">
        <x:v>Pendiente</x:v>
      </x:c>
      <x:c r="L66" s="10" t="str">
        <x:v>Pendiente</x:v>
      </x:c>
      <x:c r="M66" s="11"/>
      <x:c r="N66" s="2" t="str">
        <x:f>IF(E66="No","Fuera de alcance",IF(H66="","Fuera del contrato",IF(AND(I66="No aplica",J66&lt;&gt;"",K66="Validada"),"No aplica justificado",IF(AND(I66="Realizado",J66&lt;&gt;"",K66="Validada",L66="Aceptado",ISNUMBER(M66)),"Completo",IF(AND(I66="Controlado sin novedad",J66&lt;&gt;"",K66="Validada",ISNUMBER(M66)),"Controlado",IF('Configuración'!$B$11&gt;H66,"Vencido","Pendiente"))))))</x:f>
        <x:v>Pendiente</x:v>
      </x:c>
      <x:c r="O66" s="15"/>
      <x:c r="P66" s="15"/>
    </x:row>
    <x:row r="67" ht="48" customHeight="1">
      <x:c r="A67" s="2" t="n">
        <x:v>60</x:v>
      </x:c>
      <x:c r="B67" s="16" t="str">
        <x:v>Preparación documental de declaraciones</x:v>
      </x:c>
      <x:c r="C67" s="2" t="str">
        <x:v>Tributos y aportes</x:v>
      </x:c>
      <x:c r="D67" s="2" t="str">
        <x:v>Mensual</x:v>
      </x:c>
      <x:c r="E67" s="10" t="str">
        <x:v>Sí</x:v>
      </x:c>
      <x:c r="F67" s="10" t="str">
        <x:v>Por asignar</x:v>
      </x:c>
      <x:c r="G67" s="10" t="n">
        <x:v>9</x:v>
      </x:c>
      <x:c r="H67" s="13" t="n">
        <x:f>IF(E67="No","",IF(OR('Configuración'!$B$10&gt;'Configuración'!$B$9,EOMONTH('Configuración'!$B$10,0)&lt;'Configuración'!$B$8),"",MAX('Configuración'!$B$8,MIN('Configuración'!$B$9,WORKDAY('Configuración'!$B$10-1,G67)))))</x:f>
        <x:v>46338</x:v>
      </x:c>
      <x:c r="I67" s="10" t="str">
        <x:v>Pendiente</x:v>
      </x:c>
      <x:c r="J67" s="10" t="str"/>
      <x:c r="K67" s="10" t="str">
        <x:v>Pendiente</x:v>
      </x:c>
      <x:c r="L67" s="10" t="str">
        <x:v>Pendiente</x:v>
      </x:c>
      <x:c r="M67" s="11"/>
      <x:c r="N67" s="2" t="str">
        <x:f>IF(E67="No","Fuera de alcance",IF(H67="","Fuera del contrato",IF(AND(I67="No aplica",J67&lt;&gt;"",K67="Validada"),"No aplica justificado",IF(AND(I67="Realizado",J67&lt;&gt;"",K67="Validada",L67="Aceptado",ISNUMBER(M67)),"Completo",IF(AND(I67="Controlado sin novedad",J67&lt;&gt;"",K67="Validada",ISNUMBER(M67)),"Controlado",IF('Configuración'!$B$11&gt;H67,"Vencido","Pendiente"))))))</x:f>
        <x:v>Pendiente</x:v>
      </x:c>
      <x:c r="O67" s="15"/>
      <x:c r="P67" s="15"/>
    </x:row>
    <x:row r="68" ht="48" customHeight="1">
      <x:c r="A68" s="2" t="n">
        <x:v>61</x:v>
      </x:c>
      <x:c r="B68" s="16" t="str">
        <x:v>Seguimiento de requerimientos fiscales</x:v>
      </x:c>
      <x:c r="C68" s="2" t="str">
        <x:v>Tributos y aportes</x:v>
      </x:c>
      <x:c r="D68" s="2" t="str">
        <x:v>Semanal</x:v>
      </x:c>
      <x:c r="E68" s="10" t="str">
        <x:v>Sí</x:v>
      </x:c>
      <x:c r="F68" s="10" t="str">
        <x:v>Por asignar</x:v>
      </x:c>
      <x:c r="G68" s="10" t="n">
        <x:v>9</x:v>
      </x:c>
      <x:c r="H68" s="13" t="n">
        <x:f>IF(E68="No","",IF(OR('Configuración'!$B$10&gt;'Configuración'!$B$9,EOMONTH('Configuración'!$B$10,0)&lt;'Configuración'!$B$8),"",MAX('Configuración'!$B$8,MIN('Configuración'!$B$9,WORKDAY('Configuración'!$B$10-1,G68)))))</x:f>
        <x:v>46338</x:v>
      </x:c>
      <x:c r="I68" s="10" t="str">
        <x:v>Pendiente</x:v>
      </x:c>
      <x:c r="J68" s="10" t="str"/>
      <x:c r="K68" s="10" t="str">
        <x:v>Pendiente</x:v>
      </x:c>
      <x:c r="L68" s="10" t="str">
        <x:v>Pendiente</x:v>
      </x:c>
      <x:c r="M68" s="11"/>
      <x:c r="N68" s="2" t="str">
        <x:f>IF(E68="No","Fuera de alcance",IF(H68="","Fuera del contrato",IF(AND(I68="No aplica",J68&lt;&gt;"",K68="Validada"),"No aplica justificado",IF(AND(I68="Realizado",J68&lt;&gt;"",K68="Validada",L68="Aceptado",ISNUMBER(M68)),"Completo",IF(AND(I68="Controlado sin novedad",J68&lt;&gt;"",K68="Validada",ISNUMBER(M68)),"Controlado",IF('Configuración'!$B$11&gt;H68,"Vencido","Pendiente"))))))</x:f>
        <x:v>Pendiente</x:v>
      </x:c>
      <x:c r="O68" s="15"/>
      <x:c r="P68" s="15"/>
    </x:row>
    <x:row r="69" ht="48" customHeight="1">
      <x:c r="A69" s="2" t="n">
        <x:v>62</x:v>
      </x:c>
      <x:c r="B69" s="16" t="str">
        <x:v>Análisis de exposición fiscal</x:v>
      </x:c>
      <x:c r="C69" s="2" t="str">
        <x:v>Tributos y aportes</x:v>
      </x:c>
      <x:c r="D69" s="2" t="str">
        <x:v>Mensual</x:v>
      </x:c>
      <x:c r="E69" s="10" t="str">
        <x:v>Sí</x:v>
      </x:c>
      <x:c r="F69" s="10" t="str">
        <x:v>Por asignar</x:v>
      </x:c>
      <x:c r="G69" s="10" t="n">
        <x:v>9</x:v>
      </x:c>
      <x:c r="H69" s="13" t="n">
        <x:f>IF(E69="No","",IF(OR('Configuración'!$B$10&gt;'Configuración'!$B$9,EOMONTH('Configuración'!$B$10,0)&lt;'Configuración'!$B$8),"",MAX('Configuración'!$B$8,MIN('Configuración'!$B$9,WORKDAY('Configuración'!$B$10-1,G69)))))</x:f>
        <x:v>46338</x:v>
      </x:c>
      <x:c r="I69" s="10" t="str">
        <x:v>Pendiente</x:v>
      </x:c>
      <x:c r="J69" s="10" t="str"/>
      <x:c r="K69" s="10" t="str">
        <x:v>Pendiente</x:v>
      </x:c>
      <x:c r="L69" s="10" t="str">
        <x:v>Pendiente</x:v>
      </x:c>
      <x:c r="M69" s="11"/>
      <x:c r="N69" s="2" t="str">
        <x:f>IF(E69="No","Fuera de alcance",IF(H69="","Fuera del contrato",IF(AND(I69="No aplica",J69&lt;&gt;"",K69="Validada"),"No aplica justificado",IF(AND(I69="Realizado",J69&lt;&gt;"",K69="Validada",L69="Aceptado",ISNUMBER(M69)),"Completo",IF(AND(I69="Controlado sin novedad",J69&lt;&gt;"",K69="Validada",ISNUMBER(M69)),"Controlado",IF('Configuración'!$B$11&gt;H69,"Vencido","Pendiente"))))))</x:f>
        <x:v>Pendiente</x:v>
      </x:c>
      <x:c r="O69" s="15"/>
      <x:c r="P69" s="15"/>
    </x:row>
    <x:row r="70" ht="48" customHeight="1">
      <x:c r="A70" s="2" t="n">
        <x:v>63</x:v>
      </x:c>
      <x:c r="B70" s="16" t="str">
        <x:v>Preparación de contratos empresariales</x:v>
      </x:c>
      <x:c r="C70" s="2" t="str">
        <x:v>Trabajo y contratos</x:v>
      </x:c>
      <x:c r="D70" s="2" t="str">
        <x:v>Bajo demanda</x:v>
      </x:c>
      <x:c r="E70" s="10" t="str">
        <x:v>Sí</x:v>
      </x:c>
      <x:c r="F70" s="10" t="str">
        <x:v>Por asignar</x:v>
      </x:c>
      <x:c r="G70" s="10" t="n">
        <x:v>5</x:v>
      </x:c>
      <x:c r="H70" s="13" t="n">
        <x:f>IF(E70="No","",IF(OR('Configuración'!$B$10&gt;'Configuración'!$B$9,EOMONTH('Configuración'!$B$10,0)&lt;'Configuración'!$B$8),"",MAX('Configuración'!$B$8,MIN('Configuración'!$B$9,WORKDAY('Configuración'!$B$10-1,G70)))))</x:f>
        <x:v>46332</x:v>
      </x:c>
      <x:c r="I70" s="10" t="str">
        <x:v>Pendiente</x:v>
      </x:c>
      <x:c r="J70" s="10" t="str"/>
      <x:c r="K70" s="10" t="str">
        <x:v>Pendiente</x:v>
      </x:c>
      <x:c r="L70" s="10" t="str">
        <x:v>Pendiente</x:v>
      </x:c>
      <x:c r="M70" s="11"/>
      <x:c r="N70" s="2" t="str">
        <x:f>IF(E70="No","Fuera de alcance",IF(H70="","Fuera del contrato",IF(AND(I70="No aplica",J70&lt;&gt;"",K70="Validada"),"No aplica justificado",IF(AND(I70="Realizado",J70&lt;&gt;"",K70="Validada",L70="Aceptado",ISNUMBER(M70)),"Completo",IF(AND(I70="Controlado sin novedad",J70&lt;&gt;"",K70="Validada",ISNUMBER(M70)),"Controlado",IF('Configuración'!$B$11&gt;H70,"Vencido","Pendiente"))))))</x:f>
        <x:v>Pendiente</x:v>
      </x:c>
      <x:c r="O70" s="15"/>
      <x:c r="P70" s="15"/>
    </x:row>
    <x:row r="71" ht="48" customHeight="1">
      <x:c r="A71" s="2" t="n">
        <x:v>64</x:v>
      </x:c>
      <x:c r="B71" s="16" t="str">
        <x:v>Revisión contractual</x:v>
      </x:c>
      <x:c r="C71" s="2" t="str">
        <x:v>Trabajo y contratos</x:v>
      </x:c>
      <x:c r="D71" s="2" t="str">
        <x:v>Bajo demanda</x:v>
      </x:c>
      <x:c r="E71" s="10" t="str">
        <x:v>Sí</x:v>
      </x:c>
      <x:c r="F71" s="10" t="str">
        <x:v>Por asignar</x:v>
      </x:c>
      <x:c r="G71" s="10" t="n">
        <x:v>5</x:v>
      </x:c>
      <x:c r="H71" s="13" t="n">
        <x:f>IF(E71="No","",IF(OR('Configuración'!$B$10&gt;'Configuración'!$B$9,EOMONTH('Configuración'!$B$10,0)&lt;'Configuración'!$B$8),"",MAX('Configuración'!$B$8,MIN('Configuración'!$B$9,WORKDAY('Configuración'!$B$10-1,G71)))))</x:f>
        <x:v>46332</x:v>
      </x:c>
      <x:c r="I71" s="10" t="str">
        <x:v>Pendiente</x:v>
      </x:c>
      <x:c r="J71" s="10" t="str"/>
      <x:c r="K71" s="10" t="str">
        <x:v>Pendiente</x:v>
      </x:c>
      <x:c r="L71" s="10" t="str">
        <x:v>Pendiente</x:v>
      </x:c>
      <x:c r="M71" s="11"/>
      <x:c r="N71" s="2" t="str">
        <x:f>IF(E71="No","Fuera de alcance",IF(H71="","Fuera del contrato",IF(AND(I71="No aplica",J71&lt;&gt;"",K71="Validada"),"No aplica justificado",IF(AND(I71="Realizado",J71&lt;&gt;"",K71="Validada",L71="Aceptado",ISNUMBER(M71)),"Completo",IF(AND(I71="Controlado sin novedad",J71&lt;&gt;"",K71="Validada",ISNUMBER(M71)),"Controlado",IF('Configuración'!$B$11&gt;H71,"Vencido","Pendiente"))))))</x:f>
        <x:v>Pendiente</x:v>
      </x:c>
      <x:c r="O71" s="15"/>
      <x:c r="P71" s="15"/>
    </x:row>
    <x:row r="72" ht="48" customHeight="1">
      <x:c r="A72" s="2" t="n">
        <x:v>65</x:v>
      </x:c>
      <x:c r="B72" s="16" t="str">
        <x:v>Resumen de obligaciones contractuales</x:v>
      </x:c>
      <x:c r="C72" s="2" t="str">
        <x:v>Trabajo y contratos</x:v>
      </x:c>
      <x:c r="D72" s="2" t="str">
        <x:v>Diaria</x:v>
      </x:c>
      <x:c r="E72" s="10" t="str">
        <x:v>Sí</x:v>
      </x:c>
      <x:c r="F72" s="10" t="str">
        <x:v>Por asignar</x:v>
      </x:c>
      <x:c r="G72" s="10" t="n">
        <x:v>5</x:v>
      </x:c>
      <x:c r="H72" s="13" t="n">
        <x:f>IF(E72="No","",IF(OR('Configuración'!$B$10&gt;'Configuración'!$B$9,EOMONTH('Configuración'!$B$10,0)&lt;'Configuración'!$B$8),"",MAX('Configuración'!$B$8,MIN('Configuración'!$B$9,WORKDAY('Configuración'!$B$10-1,G72)))))</x:f>
        <x:v>46332</x:v>
      </x:c>
      <x:c r="I72" s="10" t="str">
        <x:v>Pendiente</x:v>
      </x:c>
      <x:c r="J72" s="10" t="str"/>
      <x:c r="K72" s="10" t="str">
        <x:v>Pendiente</x:v>
      </x:c>
      <x:c r="L72" s="10" t="str">
        <x:v>Pendiente</x:v>
      </x:c>
      <x:c r="M72" s="11"/>
      <x:c r="N72" s="2" t="str">
        <x:f>IF(E72="No","Fuera de alcance",IF(H72="","Fuera del contrato",IF(AND(I72="No aplica",J72&lt;&gt;"",K72="Validada"),"No aplica justificado",IF(AND(I72="Realizado",J72&lt;&gt;"",K72="Validada",L72="Aceptado",ISNUMBER(M72)),"Completo",IF(AND(I72="Controlado sin novedad",J72&lt;&gt;"",K72="Validada",ISNUMBER(M72)),"Controlado",IF('Configuración'!$B$11&gt;H72,"Vencido","Pendiente"))))))</x:f>
        <x:v>Pendiente</x:v>
      </x:c>
      <x:c r="O72" s="15"/>
      <x:c r="P72" s="15"/>
    </x:row>
    <x:row r="73" ht="48" customHeight="1">
      <x:c r="A73" s="2" t="n">
        <x:v>66</x:v>
      </x:c>
      <x:c r="B73" s="16" t="str">
        <x:v>Control del ciclo contractual</x:v>
      </x:c>
      <x:c r="C73" s="2" t="str">
        <x:v>Trabajo y contratos</x:v>
      </x:c>
      <x:c r="D73" s="2" t="str">
        <x:v>Diaria</x:v>
      </x:c>
      <x:c r="E73" s="10" t="str">
        <x:v>Sí</x:v>
      </x:c>
      <x:c r="F73" s="10" t="str">
        <x:v>Por asignar</x:v>
      </x:c>
      <x:c r="G73" s="10" t="n">
        <x:v>5</x:v>
      </x:c>
      <x:c r="H73" s="13" t="n">
        <x:f>IF(E73="No","",IF(OR('Configuración'!$B$10&gt;'Configuración'!$B$9,EOMONTH('Configuración'!$B$10,0)&lt;'Configuración'!$B$8),"",MAX('Configuración'!$B$8,MIN('Configuración'!$B$9,WORKDAY('Configuración'!$B$10-1,G73)))))</x:f>
        <x:v>46332</x:v>
      </x:c>
      <x:c r="I73" s="10" t="str">
        <x:v>Pendiente</x:v>
      </x:c>
      <x:c r="J73" s="10" t="str"/>
      <x:c r="K73" s="10" t="str">
        <x:v>Pendiente</x:v>
      </x:c>
      <x:c r="L73" s="10" t="str">
        <x:v>Pendiente</x:v>
      </x:c>
      <x:c r="M73" s="11"/>
      <x:c r="N73" s="2" t="str">
        <x:f>IF(E73="No","Fuera de alcance",IF(H73="","Fuera del contrato",IF(AND(I73="No aplica",J73&lt;&gt;"",K73="Validada"),"No aplica justificado",IF(AND(I73="Realizado",J73&lt;&gt;"",K73="Validada",L73="Aceptado",ISNUMBER(M73)),"Completo",IF(AND(I73="Controlado sin novedad",J73&lt;&gt;"",K73="Validada",ISNUMBER(M73)),"Controlado",IF('Configuración'!$B$11&gt;H73,"Vencido","Pendiente"))))))</x:f>
        <x:v>Pendiente</x:v>
      </x:c>
      <x:c r="O73" s="15"/>
      <x:c r="P73" s="15"/>
    </x:row>
    <x:row r="74" ht="48" customHeight="1">
      <x:c r="A74" s="2" t="n">
        <x:v>67</x:v>
      </x:c>
      <x:c r="B74" s="16" t="str">
        <x:v>Preparación de reclamaciones y respuestas</x:v>
      </x:c>
      <x:c r="C74" s="2" t="str">
        <x:v>Trabajo y contratos</x:v>
      </x:c>
      <x:c r="D74" s="2" t="str">
        <x:v>Mensual</x:v>
      </x:c>
      <x:c r="E74" s="10" t="str">
        <x:v>Sí</x:v>
      </x:c>
      <x:c r="F74" s="10" t="str">
        <x:v>Por asignar</x:v>
      </x:c>
      <x:c r="G74" s="10" t="n">
        <x:v>5</x:v>
      </x:c>
      <x:c r="H74" s="13" t="n">
        <x:f>IF(E74="No","",IF(OR('Configuración'!$B$10&gt;'Configuración'!$B$9,EOMONTH('Configuración'!$B$10,0)&lt;'Configuración'!$B$8),"",MAX('Configuración'!$B$8,MIN('Configuración'!$B$9,WORKDAY('Configuración'!$B$10-1,G74)))))</x:f>
        <x:v>46332</x:v>
      </x:c>
      <x:c r="I74" s="10" t="str">
        <x:v>Pendiente</x:v>
      </x:c>
      <x:c r="J74" s="10" t="str"/>
      <x:c r="K74" s="10" t="str">
        <x:v>Pendiente</x:v>
      </x:c>
      <x:c r="L74" s="10" t="str">
        <x:v>Pendiente</x:v>
      </x:c>
      <x:c r="M74" s="11"/>
      <x:c r="N74" s="2" t="str">
        <x:f>IF(E74="No","Fuera de alcance",IF(H74="","Fuera del contrato",IF(AND(I74="No aplica",J74&lt;&gt;"",K74="Validada"),"No aplica justificado",IF(AND(I74="Realizado",J74&lt;&gt;"",K74="Validada",L74="Aceptado",ISNUMBER(M74)),"Completo",IF(AND(I74="Controlado sin novedad",J74&lt;&gt;"",K74="Validada",ISNUMBER(M74)),"Controlado",IF('Configuración'!$B$11&gt;H74,"Vencido","Pendiente"))))))</x:f>
        <x:v>Pendiente</x:v>
      </x:c>
      <x:c r="O74" s="15"/>
      <x:c r="P74" s="15"/>
    </x:row>
    <x:row r="75" ht="48" customHeight="1">
      <x:c r="A75" s="2" t="n">
        <x:v>68</x:v>
      </x:c>
      <x:c r="B75" s="16" t="str">
        <x:v>Análisis documental preparatorio; dictamen jurídico reservado excluido</x:v>
      </x:c>
      <x:c r="C75" s="2" t="str">
        <x:v>Trabajo y contratos</x:v>
      </x:c>
      <x:c r="D75" s="2" t="str">
        <x:v>Bajo demanda</x:v>
      </x:c>
      <x:c r="E75" s="10" t="str">
        <x:v>Sí</x:v>
      </x:c>
      <x:c r="F75" s="10" t="str">
        <x:v>Por asignar</x:v>
      </x:c>
      <x:c r="G75" s="10" t="n">
        <x:v>5</x:v>
      </x:c>
      <x:c r="H75" s="13" t="n">
        <x:f>IF(E75="No","",IF(OR('Configuración'!$B$10&gt;'Configuración'!$B$9,EOMONTH('Configuración'!$B$10,0)&lt;'Configuración'!$B$8),"",MAX('Configuración'!$B$8,MIN('Configuración'!$B$9,WORKDAY('Configuración'!$B$10-1,G75)))))</x:f>
        <x:v>46332</x:v>
      </x:c>
      <x:c r="I75" s="10" t="str">
        <x:v>Pendiente</x:v>
      </x:c>
      <x:c r="J75" s="10" t="str"/>
      <x:c r="K75" s="10" t="str">
        <x:v>Pendiente</x:v>
      </x:c>
      <x:c r="L75" s="10" t="str">
        <x:v>Pendiente</x:v>
      </x:c>
      <x:c r="M75" s="11"/>
      <x:c r="N75" s="2" t="str">
        <x:f>IF(E75="No","Fuera de alcance",IF(H75="","Fuera del contrato",IF(AND(I75="No aplica",J75&lt;&gt;"",K75="Validada"),"No aplica justificado",IF(AND(I75="Realizado",J75&lt;&gt;"",K75="Validada",L75="Aceptado",ISNUMBER(M75)),"Completo",IF(AND(I75="Controlado sin novedad",J75&lt;&gt;"",K75="Validada",ISNUMBER(M75)),"Controlado",IF('Configuración'!$B$11&gt;H75,"Vencido","Pendiente"))))))</x:f>
        <x:v>Pendiente</x:v>
      </x:c>
      <x:c r="O75" s="15"/>
      <x:c r="P75" s="15"/>
    </x:row>
    <x:row r="76" ht="48" customHeight="1">
      <x:c r="A76" s="2" t="n">
        <x:v>69</x:v>
      </x:c>
      <x:c r="B76" s="16" t="str">
        <x:v>Diagnóstico de control interno</x:v>
      </x:c>
      <x:c r="C76" s="2" t="str">
        <x:v>Control interno</x:v>
      </x:c>
      <x:c r="D76" s="2" t="str">
        <x:v>Mensual</x:v>
      </x:c>
      <x:c r="E76" s="10" t="str">
        <x:v>Sí</x:v>
      </x:c>
      <x:c r="F76" s="10" t="str">
        <x:v>Por asignar</x:v>
      </x:c>
      <x:c r="G76" s="10" t="n">
        <x:v>3</x:v>
      </x:c>
      <x:c r="H76" s="13" t="n">
        <x:f>IF(E76="No","",IF(OR('Configuración'!$B$10&gt;'Configuración'!$B$9,EOMONTH('Configuración'!$B$10,0)&lt;'Configuración'!$B$8),"",MAX('Configuración'!$B$8,MIN('Configuración'!$B$9,WORKDAY('Configuración'!$B$10-1,G76)))))</x:f>
        <x:v>46330</x:v>
      </x:c>
      <x:c r="I76" s="10" t="str">
        <x:v>Pendiente</x:v>
      </x:c>
      <x:c r="J76" s="10" t="str"/>
      <x:c r="K76" s="10" t="str">
        <x:v>Pendiente</x:v>
      </x:c>
      <x:c r="L76" s="10" t="str">
        <x:v>Pendiente</x:v>
      </x:c>
      <x:c r="M76" s="11"/>
      <x:c r="N76" s="2" t="str">
        <x:f>IF(E76="No","Fuera de alcance",IF(H76="","Fuera del contrato",IF(AND(I76="No aplica",J76&lt;&gt;"",K76="Validada"),"No aplica justificado",IF(AND(I76="Realizado",J76&lt;&gt;"",K76="Validada",L76="Aceptado",ISNUMBER(M76)),"Completo",IF(AND(I76="Controlado sin novedad",J76&lt;&gt;"",K76="Validada",ISNUMBER(M76)),"Controlado",IF('Configuración'!$B$11&gt;H76,"Vencido","Pendiente"))))))</x:f>
        <x:v>Pendiente</x:v>
      </x:c>
      <x:c r="O76" s="15"/>
      <x:c r="P76" s="15"/>
    </x:row>
    <x:row r="77" ht="48" customHeight="1">
      <x:c r="A77" s="2" t="n">
        <x:v>70</x:v>
      </x:c>
      <x:c r="B77" s="16" t="str">
        <x:v>Diseño de controles</x:v>
      </x:c>
      <x:c r="C77" s="2" t="str">
        <x:v>Control interno</x:v>
      </x:c>
      <x:c r="D77" s="2" t="str">
        <x:v>Mensual</x:v>
      </x:c>
      <x:c r="E77" s="10" t="str">
        <x:v>Sí</x:v>
      </x:c>
      <x:c r="F77" s="10" t="str">
        <x:v>Por asignar</x:v>
      </x:c>
      <x:c r="G77" s="10" t="n">
        <x:v>3</x:v>
      </x:c>
      <x:c r="H77" s="13" t="n">
        <x:f>IF(E77="No","",IF(OR('Configuración'!$B$10&gt;'Configuración'!$B$9,EOMONTH('Configuración'!$B$10,0)&lt;'Configuración'!$B$8),"",MAX('Configuración'!$B$8,MIN('Configuración'!$B$9,WORKDAY('Configuración'!$B$10-1,G77)))))</x:f>
        <x:v>46330</x:v>
      </x:c>
      <x:c r="I77" s="10" t="str">
        <x:v>Pendiente</x:v>
      </x:c>
      <x:c r="J77" s="10" t="str"/>
      <x:c r="K77" s="10" t="str">
        <x:v>Pendiente</x:v>
      </x:c>
      <x:c r="L77" s="10" t="str">
        <x:v>Pendiente</x:v>
      </x:c>
      <x:c r="M77" s="11"/>
      <x:c r="N77" s="2" t="str">
        <x:f>IF(E77="No","Fuera de alcance",IF(H77="","Fuera del contrato",IF(AND(I77="No aplica",J77&lt;&gt;"",K77="Validada"),"No aplica justificado",IF(AND(I77="Realizado",J77&lt;&gt;"",K77="Validada",L77="Aceptado",ISNUMBER(M77)),"Completo",IF(AND(I77="Controlado sin novedad",J77&lt;&gt;"",K77="Validada",ISNUMBER(M77)),"Controlado",IF('Configuración'!$B$11&gt;H77,"Vencido","Pendiente"))))))</x:f>
        <x:v>Pendiente</x:v>
      </x:c>
      <x:c r="O77" s="15"/>
      <x:c r="P77" s="15"/>
    </x:row>
    <x:row r="78" ht="48" customHeight="1">
      <x:c r="A78" s="2" t="n">
        <x:v>71</x:v>
      </x:c>
      <x:c r="B78" s="16" t="str">
        <x:v>Autoevaluación periódica</x:v>
      </x:c>
      <x:c r="C78" s="2" t="str">
        <x:v>Control interno</x:v>
      </x:c>
      <x:c r="D78" s="2" t="str">
        <x:v>Mensual</x:v>
      </x:c>
      <x:c r="E78" s="10" t="str">
        <x:v>Sí</x:v>
      </x:c>
      <x:c r="F78" s="10" t="str">
        <x:v>Por asignar</x:v>
      </x:c>
      <x:c r="G78" s="10" t="n">
        <x:v>3</x:v>
      </x:c>
      <x:c r="H78" s="13" t="n">
        <x:f>IF(E78="No","",IF(OR('Configuración'!$B$10&gt;'Configuración'!$B$9,EOMONTH('Configuración'!$B$10,0)&lt;'Configuración'!$B$8),"",MAX('Configuración'!$B$8,MIN('Configuración'!$B$9,WORKDAY('Configuración'!$B$10-1,G78)))))</x:f>
        <x:v>46330</x:v>
      </x:c>
      <x:c r="I78" s="10" t="str">
        <x:v>Pendiente</x:v>
      </x:c>
      <x:c r="J78" s="10" t="str"/>
      <x:c r="K78" s="10" t="str">
        <x:v>Pendiente</x:v>
      </x:c>
      <x:c r="L78" s="10" t="str">
        <x:v>Pendiente</x:v>
      </x:c>
      <x:c r="M78" s="11"/>
      <x:c r="N78" s="2" t="str">
        <x:f>IF(E78="No","Fuera de alcance",IF(H78="","Fuera del contrato",IF(AND(I78="No aplica",J78&lt;&gt;"",K78="Validada"),"No aplica justificado",IF(AND(I78="Realizado",J78&lt;&gt;"",K78="Validada",L78="Aceptado",ISNUMBER(M78)),"Completo",IF(AND(I78="Controlado sin novedad",J78&lt;&gt;"",K78="Validada",ISNUMBER(M78)),"Controlado",IF('Configuración'!$B$11&gt;H78,"Vencido","Pendiente"))))))</x:f>
        <x:v>Pendiente</x:v>
      </x:c>
      <x:c r="O78" s="15"/>
      <x:c r="P78" s="15"/>
    </x:row>
    <x:row r="79" ht="48" customHeight="1">
      <x:c r="A79" s="2" t="n">
        <x:v>72</x:v>
      </x:c>
      <x:c r="B79" s="16" t="str">
        <x:v>Planes de medidas</x:v>
      </x:c>
      <x:c r="C79" s="2" t="str">
        <x:v>Control interno</x:v>
      </x:c>
      <x:c r="D79" s="2" t="str">
        <x:v>Semanal</x:v>
      </x:c>
      <x:c r="E79" s="10" t="str">
        <x:v>Sí</x:v>
      </x:c>
      <x:c r="F79" s="10" t="str">
        <x:v>Por asignar</x:v>
      </x:c>
      <x:c r="G79" s="10" t="n">
        <x:v>3</x:v>
      </x:c>
      <x:c r="H79" s="13" t="n">
        <x:f>IF(E79="No","",IF(OR('Configuración'!$B$10&gt;'Configuración'!$B$9,EOMONTH('Configuración'!$B$10,0)&lt;'Configuración'!$B$8),"",MAX('Configuración'!$B$8,MIN('Configuración'!$B$9,WORKDAY('Configuración'!$B$10-1,G79)))))</x:f>
        <x:v>46330</x:v>
      </x:c>
      <x:c r="I79" s="10" t="str">
        <x:v>Pendiente</x:v>
      </x:c>
      <x:c r="J79" s="10" t="str"/>
      <x:c r="K79" s="10" t="str">
        <x:v>Pendiente</x:v>
      </x:c>
      <x:c r="L79" s="10" t="str">
        <x:v>Pendiente</x:v>
      </x:c>
      <x:c r="M79" s="11"/>
      <x:c r="N79" s="2" t="str">
        <x:f>IF(E79="No","Fuera de alcance",IF(H79="","Fuera del contrato",IF(AND(I79="No aplica",J79&lt;&gt;"",K79="Validada"),"No aplica justificado",IF(AND(I79="Realizado",J79&lt;&gt;"",K79="Validada",L79="Aceptado",ISNUMBER(M79)),"Completo",IF(AND(I79="Controlado sin novedad",J79&lt;&gt;"",K79="Validada",ISNUMBER(M79)),"Controlado",IF('Configuración'!$B$11&gt;H79,"Vencido","Pendiente"))))))</x:f>
        <x:v>Pendiente</x:v>
      </x:c>
      <x:c r="O79" s="15"/>
      <x:c r="P79" s="15"/>
    </x:row>
    <x:row r="80" ht="48" customHeight="1">
      <x:c r="A80" s="2" t="n">
        <x:v>73</x:v>
      </x:c>
      <x:c r="B80" s="16" t="str">
        <x:v>Seguimiento de medidas correctivas</x:v>
      </x:c>
      <x:c r="C80" s="2" t="str">
        <x:v>Control interno</x:v>
      </x:c>
      <x:c r="D80" s="2" t="str">
        <x:v>Semanal</x:v>
      </x:c>
      <x:c r="E80" s="10" t="str">
        <x:v>Sí</x:v>
      </x:c>
      <x:c r="F80" s="10" t="str">
        <x:v>Por asignar</x:v>
      </x:c>
      <x:c r="G80" s="10" t="n">
        <x:v>3</x:v>
      </x:c>
      <x:c r="H80" s="13" t="n">
        <x:f>IF(E80="No","",IF(OR('Configuración'!$B$10&gt;'Configuración'!$B$9,EOMONTH('Configuración'!$B$10,0)&lt;'Configuración'!$B$8),"",MAX('Configuración'!$B$8,MIN('Configuración'!$B$9,WORKDAY('Configuración'!$B$10-1,G80)))))</x:f>
        <x:v>46330</x:v>
      </x:c>
      <x:c r="I80" s="10" t="str">
        <x:v>Pendiente</x:v>
      </x:c>
      <x:c r="J80" s="10" t="str"/>
      <x:c r="K80" s="10" t="str">
        <x:v>Pendiente</x:v>
      </x:c>
      <x:c r="L80" s="10" t="str">
        <x:v>Pendiente</x:v>
      </x:c>
      <x:c r="M80" s="11"/>
      <x:c r="N80" s="2" t="str">
        <x:f>IF(E80="No","Fuera de alcance",IF(H80="","Fuera del contrato",IF(AND(I80="No aplica",J80&lt;&gt;"",K80="Validada"),"No aplica justificado",IF(AND(I80="Realizado",J80&lt;&gt;"",K80="Validada",L80="Aceptado",ISNUMBER(M80)),"Completo",IF(AND(I80="Controlado sin novedad",J80&lt;&gt;"",K80="Validada",ISNUMBER(M80)),"Controlado",IF('Configuración'!$B$11&gt;H80,"Vencido","Pendiente"))))))</x:f>
        <x:v>Pendiente</x:v>
      </x:c>
      <x:c r="O80" s="15"/>
      <x:c r="P80" s="15"/>
    </x:row>
    <x:row r="81" ht="48" customHeight="1">
      <x:c r="A81" s="2" t="n">
        <x:v>74</x:v>
      </x:c>
      <x:c r="B81" s="16" t="str">
        <x:v>Pruebas de cumplimiento</x:v>
      </x:c>
      <x:c r="C81" s="2" t="str">
        <x:v>Control interno</x:v>
      </x:c>
      <x:c r="D81" s="2" t="str">
        <x:v>Mensual</x:v>
      </x:c>
      <x:c r="E81" s="10" t="str">
        <x:v>Sí</x:v>
      </x:c>
      <x:c r="F81" s="10" t="str">
        <x:v>Por asignar</x:v>
      </x:c>
      <x:c r="G81" s="10" t="n">
        <x:v>3</x:v>
      </x:c>
      <x:c r="H81" s="13" t="n">
        <x:f>IF(E81="No","",IF(OR('Configuración'!$B$10&gt;'Configuración'!$B$9,EOMONTH('Configuración'!$B$10,0)&lt;'Configuración'!$B$8),"",MAX('Configuración'!$B$8,MIN('Configuración'!$B$9,WORKDAY('Configuración'!$B$10-1,G81)))))</x:f>
        <x:v>46330</x:v>
      </x:c>
      <x:c r="I81" s="10" t="str">
        <x:v>Pendiente</x:v>
      </x:c>
      <x:c r="J81" s="10" t="str"/>
      <x:c r="K81" s="10" t="str">
        <x:v>Pendiente</x:v>
      </x:c>
      <x:c r="L81" s="10" t="str">
        <x:v>Pendiente</x:v>
      </x:c>
      <x:c r="M81" s="11"/>
      <x:c r="N81" s="2" t="str">
        <x:f>IF(E81="No","Fuera de alcance",IF(H81="","Fuera del contrato",IF(AND(I81="No aplica",J81&lt;&gt;"",K81="Validada"),"No aplica justificado",IF(AND(I81="Realizado",J81&lt;&gt;"",K81="Validada",L81="Aceptado",ISNUMBER(M81)),"Completo",IF(AND(I81="Controlado sin novedad",J81&lt;&gt;"",K81="Validada",ISNUMBER(M81)),"Controlado",IF('Configuración'!$B$11&gt;H81,"Vencido","Pendiente"))))))</x:f>
        <x:v>Pendiente</x:v>
      </x:c>
      <x:c r="O81" s="15"/>
      <x:c r="P81" s="15"/>
    </x:row>
    <x:row r="82" ht="48" customHeight="1">
      <x:c r="A82" s="2" t="n">
        <x:v>75</x:v>
      </x:c>
      <x:c r="B82" s="16" t="str">
        <x:v>Mapa de riesgos empresariales</x:v>
      </x:c>
      <x:c r="C82" s="2" t="str">
        <x:v>Riesgos</x:v>
      </x:c>
      <x:c r="D82" s="2" t="str">
        <x:v>Mensual</x:v>
      </x:c>
      <x:c r="E82" s="10" t="str">
        <x:v>Sí</x:v>
      </x:c>
      <x:c r="F82" s="10" t="str">
        <x:v>Por asignar</x:v>
      </x:c>
      <x:c r="G82" s="10" t="n">
        <x:v>11</x:v>
      </x:c>
      <x:c r="H82" s="13" t="n">
        <x:f>IF(E82="No","",IF(OR('Configuración'!$B$10&gt;'Configuración'!$B$9,EOMONTH('Configuración'!$B$10,0)&lt;'Configuración'!$B$8),"",MAX('Configuración'!$B$8,MIN('Configuración'!$B$9,WORKDAY('Configuración'!$B$10-1,G82)))))</x:f>
        <x:v>46342</x:v>
      </x:c>
      <x:c r="I82" s="10" t="str">
        <x:v>Pendiente</x:v>
      </x:c>
      <x:c r="J82" s="10" t="str"/>
      <x:c r="K82" s="10" t="str">
        <x:v>Pendiente</x:v>
      </x:c>
      <x:c r="L82" s="10" t="str">
        <x:v>Pendiente</x:v>
      </x:c>
      <x:c r="M82" s="11"/>
      <x:c r="N82" s="2" t="str">
        <x:f>IF(E82="No","Fuera de alcance",IF(H82="","Fuera del contrato",IF(AND(I82="No aplica",J82&lt;&gt;"",K82="Validada"),"No aplica justificado",IF(AND(I82="Realizado",J82&lt;&gt;"",K82="Validada",L82="Aceptado",ISNUMBER(M82)),"Completo",IF(AND(I82="Controlado sin novedad",J82&lt;&gt;"",K82="Validada",ISNUMBER(M82)),"Controlado",IF('Configuración'!$B$11&gt;H82,"Vencido","Pendiente"))))))</x:f>
        <x:v>Pendiente</x:v>
      </x:c>
      <x:c r="O82" s="15"/>
      <x:c r="P82" s="15"/>
    </x:row>
    <x:row r="83" ht="48" customHeight="1">
      <x:c r="A83" s="2" t="n">
        <x:v>76</x:v>
      </x:c>
      <x:c r="B83" s="16" t="str">
        <x:v>Seguimiento de riesgos</x:v>
      </x:c>
      <x:c r="C83" s="2" t="str">
        <x:v>Riesgos</x:v>
      </x:c>
      <x:c r="D83" s="2" t="str">
        <x:v>Diaria</x:v>
      </x:c>
      <x:c r="E83" s="10" t="str">
        <x:v>Sí</x:v>
      </x:c>
      <x:c r="F83" s="10" t="str">
        <x:v>Por asignar</x:v>
      </x:c>
      <x:c r="G83" s="10" t="n">
        <x:v>11</x:v>
      </x:c>
      <x:c r="H83" s="13" t="n">
        <x:f>IF(E83="No","",IF(OR('Configuración'!$B$10&gt;'Configuración'!$B$9,EOMONTH('Configuración'!$B$10,0)&lt;'Configuración'!$B$8),"",MAX('Configuración'!$B$8,MIN('Configuración'!$B$9,WORKDAY('Configuración'!$B$10-1,G83)))))</x:f>
        <x:v>46342</x:v>
      </x:c>
      <x:c r="I83" s="10" t="str">
        <x:v>Pendiente</x:v>
      </x:c>
      <x:c r="J83" s="10" t="str"/>
      <x:c r="K83" s="10" t="str">
        <x:v>Pendiente</x:v>
      </x:c>
      <x:c r="L83" s="10" t="str">
        <x:v>Pendiente</x:v>
      </x:c>
      <x:c r="M83" s="11"/>
      <x:c r="N83" s="2" t="str">
        <x:f>IF(E83="No","Fuera de alcance",IF(H83="","Fuera del contrato",IF(AND(I83="No aplica",J83&lt;&gt;"",K83="Validada"),"No aplica justificado",IF(AND(I83="Realizado",J83&lt;&gt;"",K83="Validada",L83="Aceptado",ISNUMBER(M83)),"Completo",IF(AND(I83="Controlado sin novedad",J83&lt;&gt;"",K83="Validada",ISNUMBER(M83)),"Controlado",IF('Configuración'!$B$11&gt;H83,"Vencido","Pendiente"))))))</x:f>
        <x:v>Pendiente</x:v>
      </x:c>
      <x:c r="O83" s="15"/>
      <x:c r="P83" s="15"/>
    </x:row>
    <x:row r="84" ht="48" customHeight="1">
      <x:c r="A84" s="2" t="n">
        <x:v>77</x:v>
      </x:c>
      <x:c r="B84" s="16" t="str">
        <x:v>Análisis de incidentes</x:v>
      </x:c>
      <x:c r="C84" s="2" t="str">
        <x:v>Riesgos</x:v>
      </x:c>
      <x:c r="D84" s="2" t="str">
        <x:v>Semanal</x:v>
      </x:c>
      <x:c r="E84" s="10" t="str">
        <x:v>Sí</x:v>
      </x:c>
      <x:c r="F84" s="10" t="str">
        <x:v>Por asignar</x:v>
      </x:c>
      <x:c r="G84" s="10" t="n">
        <x:v>11</x:v>
      </x:c>
      <x:c r="H84" s="13" t="n">
        <x:f>IF(E84="No","",IF(OR('Configuración'!$B$10&gt;'Configuración'!$B$9,EOMONTH('Configuración'!$B$10,0)&lt;'Configuración'!$B$8),"",MAX('Configuración'!$B$8,MIN('Configuración'!$B$9,WORKDAY('Configuración'!$B$10-1,G84)))))</x:f>
        <x:v>46342</x:v>
      </x:c>
      <x:c r="I84" s="10" t="str">
        <x:v>Pendiente</x:v>
      </x:c>
      <x:c r="J84" s="10" t="str"/>
      <x:c r="K84" s="10" t="str">
        <x:v>Pendiente</x:v>
      </x:c>
      <x:c r="L84" s="10" t="str">
        <x:v>Pendiente</x:v>
      </x:c>
      <x:c r="M84" s="11"/>
      <x:c r="N84" s="2" t="str">
        <x:f>IF(E84="No","Fuera de alcance",IF(H84="","Fuera del contrato",IF(AND(I84="No aplica",J84&lt;&gt;"",K84="Validada"),"No aplica justificado",IF(AND(I84="Realizado",J84&lt;&gt;"",K84="Validada",L84="Aceptado",ISNUMBER(M84)),"Completo",IF(AND(I84="Controlado sin novedad",J84&lt;&gt;"",K84="Validada",ISNUMBER(M84)),"Controlado",IF('Configuración'!$B$11&gt;H84,"Vencido","Pendiente"))))))</x:f>
        <x:v>Pendiente</x:v>
      </x:c>
      <x:c r="O84" s="15"/>
      <x:c r="P84" s="15"/>
    </x:row>
    <x:row r="85" ht="48" customHeight="1">
      <x:c r="A85" s="2" t="n">
        <x:v>78</x:v>
      </x:c>
      <x:c r="B85" s="16" t="str">
        <x:v>Plan de continuidad</x:v>
      </x:c>
      <x:c r="C85" s="2" t="str">
        <x:v>Riesgos</x:v>
      </x:c>
      <x:c r="D85" s="2" t="str">
        <x:v>Mensual</x:v>
      </x:c>
      <x:c r="E85" s="10" t="str">
        <x:v>Sí</x:v>
      </x:c>
      <x:c r="F85" s="10" t="str">
        <x:v>Por asignar</x:v>
      </x:c>
      <x:c r="G85" s="10" t="n">
        <x:v>11</x:v>
      </x:c>
      <x:c r="H85" s="13" t="n">
        <x:f>IF(E85="No","",IF(OR('Configuración'!$B$10&gt;'Configuración'!$B$9,EOMONTH('Configuración'!$B$10,0)&lt;'Configuración'!$B$8),"",MAX('Configuración'!$B$8,MIN('Configuración'!$B$9,WORKDAY('Configuración'!$B$10-1,G85)))))</x:f>
        <x:v>46342</x:v>
      </x:c>
      <x:c r="I85" s="10" t="str">
        <x:v>Pendiente</x:v>
      </x:c>
      <x:c r="J85" s="10" t="str"/>
      <x:c r="K85" s="10" t="str">
        <x:v>Pendiente</x:v>
      </x:c>
      <x:c r="L85" s="10" t="str">
        <x:v>Pendiente</x:v>
      </x:c>
      <x:c r="M85" s="11"/>
      <x:c r="N85" s="2" t="str">
        <x:f>IF(E85="No","Fuera de alcance",IF(H85="","Fuera del contrato",IF(AND(I85="No aplica",J85&lt;&gt;"",K85="Validada"),"No aplica justificado",IF(AND(I85="Realizado",J85&lt;&gt;"",K85="Validada",L85="Aceptado",ISNUMBER(M85)),"Completo",IF(AND(I85="Controlado sin novedad",J85&lt;&gt;"",K85="Validada",ISNUMBER(M85)),"Controlado",IF('Configuración'!$B$11&gt;H85,"Vencido","Pendiente"))))))</x:f>
        <x:v>Pendiente</x:v>
      </x:c>
      <x:c r="O85" s="15"/>
      <x:c r="P85" s="15"/>
    </x:row>
    <x:row r="86" ht="48" customHeight="1">
      <x:c r="A86" s="2" t="n">
        <x:v>79</x:v>
      </x:c>
      <x:c r="B86" s="16" t="str">
        <x:v>Alertas tempranas</x:v>
      </x:c>
      <x:c r="C86" s="2" t="str">
        <x:v>Riesgos</x:v>
      </x:c>
      <x:c r="D86" s="2" t="str">
        <x:v>Diaria</x:v>
      </x:c>
      <x:c r="E86" s="10" t="str">
        <x:v>Sí</x:v>
      </x:c>
      <x:c r="F86" s="10" t="str">
        <x:v>Por asignar</x:v>
      </x:c>
      <x:c r="G86" s="10" t="n">
        <x:v>11</x:v>
      </x:c>
      <x:c r="H86" s="13" t="n">
        <x:f>IF(E86="No","",IF(OR('Configuración'!$B$10&gt;'Configuración'!$B$9,EOMONTH('Configuración'!$B$10,0)&lt;'Configuración'!$B$8),"",MAX('Configuración'!$B$8,MIN('Configuración'!$B$9,WORKDAY('Configuración'!$B$10-1,G86)))))</x:f>
        <x:v>46342</x:v>
      </x:c>
      <x:c r="I86" s="10" t="str">
        <x:v>Pendiente</x:v>
      </x:c>
      <x:c r="J86" s="10" t="str"/>
      <x:c r="K86" s="10" t="str">
        <x:v>Pendiente</x:v>
      </x:c>
      <x:c r="L86" s="10" t="str">
        <x:v>Pendiente</x:v>
      </x:c>
      <x:c r="M86" s="11"/>
      <x:c r="N86" s="2" t="str">
        <x:f>IF(E86="No","Fuera de alcance",IF(H86="","Fuera del contrato",IF(AND(I86="No aplica",J86&lt;&gt;"",K86="Validada"),"No aplica justificado",IF(AND(I86="Realizado",J86&lt;&gt;"",K86="Validada",L86="Aceptado",ISNUMBER(M86)),"Completo",IF(AND(I86="Controlado sin novedad",J86&lt;&gt;"",K86="Validada",ISNUMBER(M86)),"Controlado",IF('Configuración'!$B$11&gt;H86,"Vencido","Pendiente"))))))</x:f>
        <x:v>Pendiente</x:v>
      </x:c>
      <x:c r="O86" s="15"/>
      <x:c r="P86" s="15"/>
    </x:row>
    <x:row r="87" ht="48" customHeight="1">
      <x:c r="A87" s="2" t="n">
        <x:v>80</x:v>
      </x:c>
      <x:c r="B87" s="16" t="str">
        <x:v>Informe de riesgos para dirección</x:v>
      </x:c>
      <x:c r="C87" s="2" t="str">
        <x:v>Riesgos</x:v>
      </x:c>
      <x:c r="D87" s="2" t="str">
        <x:v>Mensual</x:v>
      </x:c>
      <x:c r="E87" s="10" t="str">
        <x:v>Sí</x:v>
      </x:c>
      <x:c r="F87" s="10" t="str">
        <x:v>Por asignar</x:v>
      </x:c>
      <x:c r="G87" s="10" t="n">
        <x:v>11</x:v>
      </x:c>
      <x:c r="H87" s="13" t="n">
        <x:f>IF(E87="No","",IF(OR('Configuración'!$B$10&gt;'Configuración'!$B$9,EOMONTH('Configuración'!$B$10,0)&lt;'Configuración'!$B$8),"",MAX('Configuración'!$B$8,MIN('Configuración'!$B$9,WORKDAY('Configuración'!$B$10-1,G87)))))</x:f>
        <x:v>46342</x:v>
      </x:c>
      <x:c r="I87" s="10" t="str">
        <x:v>Pendiente</x:v>
      </x:c>
      <x:c r="J87" s="10" t="str"/>
      <x:c r="K87" s="10" t="str">
        <x:v>Pendiente</x:v>
      </x:c>
      <x:c r="L87" s="10" t="str">
        <x:v>Pendiente</x:v>
      </x:c>
      <x:c r="M87" s="11"/>
      <x:c r="N87" s="2" t="str">
        <x:f>IF(E87="No","Fuera de alcance",IF(H87="","Fuera del contrato",IF(AND(I87="No aplica",J87&lt;&gt;"",K87="Validada"),"No aplica justificado",IF(AND(I87="Realizado",J87&lt;&gt;"",K87="Validada",L87="Aceptado",ISNUMBER(M87)),"Completo",IF(AND(I87="Controlado sin novedad",J87&lt;&gt;"",K87="Validada",ISNUMBER(M87)),"Controlado",IF('Configuración'!$B$11&gt;H87,"Vencido","Pendiente"))))))</x:f>
        <x:v>Pendiente</x:v>
      </x:c>
      <x:c r="O87" s="15"/>
      <x:c r="P87" s="15"/>
    </x:row>
    <x:row r="88" ht="48" customHeight="1">
      <x:c r="A88" s="2" t="n">
        <x:v>81</x:v>
      </x:c>
      <x:c r="B88" s="16" t="str">
        <x:v>Preinspección interna</x:v>
      </x:c>
      <x:c r="C88" s="2" t="str">
        <x:v>Control interno</x:v>
      </x:c>
      <x:c r="D88" s="2" t="str">
        <x:v>Mensual</x:v>
      </x:c>
      <x:c r="E88" s="10" t="str">
        <x:v>Sí</x:v>
      </x:c>
      <x:c r="F88" s="10" t="str">
        <x:v>Por asignar</x:v>
      </x:c>
      <x:c r="G88" s="10" t="n">
        <x:v>3</x:v>
      </x:c>
      <x:c r="H88" s="13" t="n">
        <x:f>IF(E88="No","",IF(OR('Configuración'!$B$10&gt;'Configuración'!$B$9,EOMONTH('Configuración'!$B$10,0)&lt;'Configuración'!$B$8),"",MAX('Configuración'!$B$8,MIN('Configuración'!$B$9,WORKDAY('Configuración'!$B$10-1,G88)))))</x:f>
        <x:v>46330</x:v>
      </x:c>
      <x:c r="I88" s="10" t="str">
        <x:v>Pendiente</x:v>
      </x:c>
      <x:c r="J88" s="10" t="str"/>
      <x:c r="K88" s="10" t="str">
        <x:v>Pendiente</x:v>
      </x:c>
      <x:c r="L88" s="10" t="str">
        <x:v>Pendiente</x:v>
      </x:c>
      <x:c r="M88" s="11"/>
      <x:c r="N88" s="2" t="str">
        <x:f>IF(E88="No","Fuera de alcance",IF(H88="","Fuera del contrato",IF(AND(I88="No aplica",J88&lt;&gt;"",K88="Validada"),"No aplica justificado",IF(AND(I88="Realizado",J88&lt;&gt;"",K88="Validada",L88="Aceptado",ISNUMBER(M88)),"Completo",IF(AND(I88="Controlado sin novedad",J88&lt;&gt;"",K88="Validada",ISNUMBER(M88)),"Controlado",IF('Configuración'!$B$11&gt;H88,"Vencido","Pendiente"))))))</x:f>
        <x:v>Pendiente</x:v>
      </x:c>
      <x:c r="O88" s="15"/>
      <x:c r="P88" s="15"/>
    </x:row>
    <x:row r="89" ht="48" customHeight="1">
      <x:c r="A89" s="2" t="n">
        <x:v>82</x:v>
      </x:c>
      <x:c r="B89" s="16" t="str">
        <x:v>Expediente permanente de inspecciones</x:v>
      </x:c>
      <x:c r="C89" s="2" t="str">
        <x:v>Control interno</x:v>
      </x:c>
      <x:c r="D89" s="2" t="str">
        <x:v>Mensual</x:v>
      </x:c>
      <x:c r="E89" s="10" t="str">
        <x:v>Sí</x:v>
      </x:c>
      <x:c r="F89" s="10" t="str">
        <x:v>Por asignar</x:v>
      </x:c>
      <x:c r="G89" s="10" t="n">
        <x:v>3</x:v>
      </x:c>
      <x:c r="H89" s="13" t="n">
        <x:f>IF(E89="No","",IF(OR('Configuración'!$B$10&gt;'Configuración'!$B$9,EOMONTH('Configuración'!$B$10,0)&lt;'Configuración'!$B$8),"",MAX('Configuración'!$B$8,MIN('Configuración'!$B$9,WORKDAY('Configuración'!$B$10-1,G89)))))</x:f>
        <x:v>46330</x:v>
      </x:c>
      <x:c r="I89" s="10" t="str">
        <x:v>Pendiente</x:v>
      </x:c>
      <x:c r="J89" s="10" t="str"/>
      <x:c r="K89" s="10" t="str">
        <x:v>Pendiente</x:v>
      </x:c>
      <x:c r="L89" s="10" t="str">
        <x:v>Pendiente</x:v>
      </x:c>
      <x:c r="M89" s="11"/>
      <x:c r="N89" s="2" t="str">
        <x:f>IF(E89="No","Fuera de alcance",IF(H89="","Fuera del contrato",IF(AND(I89="No aplica",J89&lt;&gt;"",K89="Validada"),"No aplica justificado",IF(AND(I89="Realizado",J89&lt;&gt;"",K89="Validada",L89="Aceptado",ISNUMBER(M89)),"Completo",IF(AND(I89="Controlado sin novedad",J89&lt;&gt;"",K89="Validada",ISNUMBER(M89)),"Controlado",IF('Configuración'!$B$11&gt;H89,"Vencido","Pendiente"))))))</x:f>
        <x:v>Pendiente</x:v>
      </x:c>
      <x:c r="O89" s="15"/>
      <x:c r="P89" s="15"/>
    </x:row>
    <x:row r="90" ht="48" customHeight="1">
      <x:c r="A90" s="2" t="n">
        <x:v>83</x:v>
      </x:c>
      <x:c r="B90" s="16" t="str">
        <x:v>Guía de atención a inspectores</x:v>
      </x:c>
      <x:c r="C90" s="2" t="str">
        <x:v>Control interno</x:v>
      </x:c>
      <x:c r="D90" s="2" t="str">
        <x:v>Bajo demanda</x:v>
      </x:c>
      <x:c r="E90" s="10" t="str">
        <x:v>Sí</x:v>
      </x:c>
      <x:c r="F90" s="10" t="str">
        <x:v>Por asignar</x:v>
      </x:c>
      <x:c r="G90" s="10" t="n">
        <x:v>3</x:v>
      </x:c>
      <x:c r="H90" s="13" t="n">
        <x:f>IF(E90="No","",IF(OR('Configuración'!$B$10&gt;'Configuración'!$B$9,EOMONTH('Configuración'!$B$10,0)&lt;'Configuración'!$B$8),"",MAX('Configuración'!$B$8,MIN('Configuración'!$B$9,WORKDAY('Configuración'!$B$10-1,G90)))))</x:f>
        <x:v>46330</x:v>
      </x:c>
      <x:c r="I90" s="10" t="str">
        <x:v>Pendiente</x:v>
      </x:c>
      <x:c r="J90" s="10" t="str"/>
      <x:c r="K90" s="10" t="str">
        <x:v>Pendiente</x:v>
      </x:c>
      <x:c r="L90" s="10" t="str">
        <x:v>Pendiente</x:v>
      </x:c>
      <x:c r="M90" s="11"/>
      <x:c r="N90" s="2" t="str">
        <x:f>IF(E90="No","Fuera de alcance",IF(H90="","Fuera del contrato",IF(AND(I90="No aplica",J90&lt;&gt;"",K90="Validada"),"No aplica justificado",IF(AND(I90="Realizado",J90&lt;&gt;"",K90="Validada",L90="Aceptado",ISNUMBER(M90)),"Completo",IF(AND(I90="Controlado sin novedad",J90&lt;&gt;"",K90="Validada",ISNUMBER(M90)),"Controlado",IF('Configuración'!$B$11&gt;H90,"Vencido","Pendiente"))))))</x:f>
        <x:v>Pendiente</x:v>
      </x:c>
      <x:c r="O90" s="15"/>
      <x:c r="P90" s="15"/>
    </x:row>
    <x:row r="91" ht="48" customHeight="1">
      <x:c r="A91" s="2" t="n">
        <x:v>84</x:v>
      </x:c>
      <x:c r="B91" s="16" t="str">
        <x:v>Control de documentos entregados</x:v>
      </x:c>
      <x:c r="C91" s="2" t="str">
        <x:v>Control interno</x:v>
      </x:c>
      <x:c r="D91" s="2" t="str">
        <x:v>Diaria</x:v>
      </x:c>
      <x:c r="E91" s="10" t="str">
        <x:v>Sí</x:v>
      </x:c>
      <x:c r="F91" s="10" t="str">
        <x:v>Por asignar</x:v>
      </x:c>
      <x:c r="G91" s="10" t="n">
        <x:v>3</x:v>
      </x:c>
      <x:c r="H91" s="13" t="n">
        <x:f>IF(E91="No","",IF(OR('Configuración'!$B$10&gt;'Configuración'!$B$9,EOMONTH('Configuración'!$B$10,0)&lt;'Configuración'!$B$8),"",MAX('Configuración'!$B$8,MIN('Configuración'!$B$9,WORKDAY('Configuración'!$B$10-1,G91)))))</x:f>
        <x:v>46330</x:v>
      </x:c>
      <x:c r="I91" s="10" t="str">
        <x:v>Pendiente</x:v>
      </x:c>
      <x:c r="J91" s="10" t="str"/>
      <x:c r="K91" s="10" t="str">
        <x:v>Pendiente</x:v>
      </x:c>
      <x:c r="L91" s="10" t="str">
        <x:v>Pendiente</x:v>
      </x:c>
      <x:c r="M91" s="11"/>
      <x:c r="N91" s="2" t="str">
        <x:f>IF(E91="No","Fuera de alcance",IF(H91="","Fuera del contrato",IF(AND(I91="No aplica",J91&lt;&gt;"",K91="Validada"),"No aplica justificado",IF(AND(I91="Realizado",J91&lt;&gt;"",K91="Validada",L91="Aceptado",ISNUMBER(M91)),"Completo",IF(AND(I91="Controlado sin novedad",J91&lt;&gt;"",K91="Validada",ISNUMBER(M91)),"Controlado",IF('Configuración'!$B$11&gt;H91,"Vencido","Pendiente"))))))</x:f>
        <x:v>Pendiente</x:v>
      </x:c>
      <x:c r="O91" s="15"/>
      <x:c r="P91" s="15"/>
    </x:row>
    <x:row r="92" ht="48" customHeight="1">
      <x:c r="A92" s="2" t="n">
        <x:v>85</x:v>
      </x:c>
      <x:c r="B92" s="16" t="str">
        <x:v>Análisis de hallazgos</x:v>
      </x:c>
      <x:c r="C92" s="2" t="str">
        <x:v>Control interno</x:v>
      </x:c>
      <x:c r="D92" s="2" t="str">
        <x:v>Mensual</x:v>
      </x:c>
      <x:c r="E92" s="10" t="str">
        <x:v>Sí</x:v>
      </x:c>
      <x:c r="F92" s="10" t="str">
        <x:v>Por asignar</x:v>
      </x:c>
      <x:c r="G92" s="10" t="n">
        <x:v>3</x:v>
      </x:c>
      <x:c r="H92" s="13" t="n">
        <x:f>IF(E92="No","",IF(OR('Configuración'!$B$10&gt;'Configuración'!$B$9,EOMONTH('Configuración'!$B$10,0)&lt;'Configuración'!$B$8),"",MAX('Configuración'!$B$8,MIN('Configuración'!$B$9,WORKDAY('Configuración'!$B$10-1,G92)))))</x:f>
        <x:v>46330</x:v>
      </x:c>
      <x:c r="I92" s="10" t="str">
        <x:v>Pendiente</x:v>
      </x:c>
      <x:c r="J92" s="10" t="str"/>
      <x:c r="K92" s="10" t="str">
        <x:v>Pendiente</x:v>
      </x:c>
      <x:c r="L92" s="10" t="str">
        <x:v>Pendiente</x:v>
      </x:c>
      <x:c r="M92" s="11"/>
      <x:c r="N92" s="2" t="str">
        <x:f>IF(E92="No","Fuera de alcance",IF(H92="","Fuera del contrato",IF(AND(I92="No aplica",J92&lt;&gt;"",K92="Validada"),"No aplica justificado",IF(AND(I92="Realizado",J92&lt;&gt;"",K92="Validada",L92="Aceptado",ISNUMBER(M92)),"Completo",IF(AND(I92="Controlado sin novedad",J92&lt;&gt;"",K92="Validada",ISNUMBER(M92)),"Controlado",IF('Configuración'!$B$11&gt;H92,"Vencido","Pendiente"))))))</x:f>
        <x:v>Pendiente</x:v>
      </x:c>
      <x:c r="O92" s="15"/>
      <x:c r="P92" s="15"/>
    </x:row>
    <x:row r="93" ht="48" customHeight="1">
      <x:c r="A93" s="2" t="n">
        <x:v>86</x:v>
      </x:c>
      <x:c r="B93" s="16" t="str">
        <x:v>Preparación de descargos o respuestas</x:v>
      </x:c>
      <x:c r="C93" s="2" t="str">
        <x:v>Control interno</x:v>
      </x:c>
      <x:c r="D93" s="2" t="str">
        <x:v>Bajo demanda</x:v>
      </x:c>
      <x:c r="E93" s="10" t="str">
        <x:v>Sí</x:v>
      </x:c>
      <x:c r="F93" s="10" t="str">
        <x:v>Por asignar</x:v>
      </x:c>
      <x:c r="G93" s="10" t="n">
        <x:v>3</x:v>
      </x:c>
      <x:c r="H93" s="13" t="n">
        <x:f>IF(E93="No","",IF(OR('Configuración'!$B$10&gt;'Configuración'!$B$9,EOMONTH('Configuración'!$B$10,0)&lt;'Configuración'!$B$8),"",MAX('Configuración'!$B$8,MIN('Configuración'!$B$9,WORKDAY('Configuración'!$B$10-1,G93)))))</x:f>
        <x:v>46330</x:v>
      </x:c>
      <x:c r="I93" s="10" t="str">
        <x:v>Pendiente</x:v>
      </x:c>
      <x:c r="J93" s="10" t="str"/>
      <x:c r="K93" s="10" t="str">
        <x:v>Pendiente</x:v>
      </x:c>
      <x:c r="L93" s="10" t="str">
        <x:v>Pendiente</x:v>
      </x:c>
      <x:c r="M93" s="11"/>
      <x:c r="N93" s="2" t="str">
        <x:f>IF(E93="No","Fuera de alcance",IF(H93="","Fuera del contrato",IF(AND(I93="No aplica",J93&lt;&gt;"",K93="Validada"),"No aplica justificado",IF(AND(I93="Realizado",J93&lt;&gt;"",K93="Validada",L93="Aceptado",ISNUMBER(M93)),"Completo",IF(AND(I93="Controlado sin novedad",J93&lt;&gt;"",K93="Validada",ISNUMBER(M93)),"Controlado",IF('Configuración'!$B$11&gt;H93,"Vencido","Pendiente"))))))</x:f>
        <x:v>Pendiente</x:v>
      </x:c>
      <x:c r="O93" s="15"/>
      <x:c r="P93" s="15"/>
    </x:row>
    <x:row r="94" ht="48" customHeight="1">
      <x:c r="A94" s="2" t="n">
        <x:v>87</x:v>
      </x:c>
      <x:c r="B94" s="16" t="str">
        <x:v>Seguimiento posauditoría</x:v>
      </x:c>
      <x:c r="C94" s="2" t="str">
        <x:v>Control interno</x:v>
      </x:c>
      <x:c r="D94" s="2" t="str">
        <x:v>Mensual</x:v>
      </x:c>
      <x:c r="E94" s="10" t="str">
        <x:v>Sí</x:v>
      </x:c>
      <x:c r="F94" s="10" t="str">
        <x:v>Por asignar</x:v>
      </x:c>
      <x:c r="G94" s="10" t="n">
        <x:v>3</x:v>
      </x:c>
      <x:c r="H94" s="13" t="n">
        <x:f>IF(E94="No","",IF(OR('Configuración'!$B$10&gt;'Configuración'!$B$9,EOMONTH('Configuración'!$B$10,0)&lt;'Configuración'!$B$8),"",MAX('Configuración'!$B$8,MIN('Configuración'!$B$9,WORKDAY('Configuración'!$B$10-1,G94)))))</x:f>
        <x:v>46330</x:v>
      </x:c>
      <x:c r="I94" s="10" t="str">
        <x:v>Pendiente</x:v>
      </x:c>
      <x:c r="J94" s="10" t="str"/>
      <x:c r="K94" s="10" t="str">
        <x:v>Pendiente</x:v>
      </x:c>
      <x:c r="L94" s="10" t="str">
        <x:v>Pendiente</x:v>
      </x:c>
      <x:c r="M94" s="11"/>
      <x:c r="N94" s="2" t="str">
        <x:f>IF(E94="No","Fuera de alcance",IF(H94="","Fuera del contrato",IF(AND(I94="No aplica",J94&lt;&gt;"",K94="Validada"),"No aplica justificado",IF(AND(I94="Realizado",J94&lt;&gt;"",K94="Validada",L94="Aceptado",ISNUMBER(M94)),"Completo",IF(AND(I94="Controlado sin novedad",J94&lt;&gt;"",K94="Validada",ISNUMBER(M94)),"Controlado",IF('Configuración'!$B$11&gt;H94,"Vencido","Pendiente"))))))</x:f>
        <x:v>Pendiente</x:v>
      </x:c>
      <x:c r="O94" s="15"/>
      <x:c r="P94" s="15"/>
    </x:row>
    <x:row r="95" ht="48" customHeight="1">
      <x:c r="A95" s="2" t="n">
        <x:v>88</x:v>
      </x:c>
      <x:c r="B95" s="16" t="str">
        <x:v>Revisión de expedientes laborales</x:v>
      </x:c>
      <x:c r="C95" s="2" t="str">
        <x:v>Capital humano</x:v>
      </x:c>
      <x:c r="D95" s="2" t="str">
        <x:v>Mensual</x:v>
      </x:c>
      <x:c r="E95" s="10" t="str">
        <x:v>Sí</x:v>
      </x:c>
      <x:c r="F95" s="10" t="str">
        <x:v>Por asignar</x:v>
      </x:c>
      <x:c r="G95" s="10" t="n">
        <x:v>3</x:v>
      </x:c>
      <x:c r="H95" s="13" t="n">
        <x:f>IF(E95="No","",IF(OR('Configuración'!$B$10&gt;'Configuración'!$B$9,EOMONTH('Configuración'!$B$10,0)&lt;'Configuración'!$B$8),"",MAX('Configuración'!$B$8,MIN('Configuración'!$B$9,WORKDAY('Configuración'!$B$10-1,G95)))))</x:f>
        <x:v>46330</x:v>
      </x:c>
      <x:c r="I95" s="10" t="str">
        <x:v>Pendiente</x:v>
      </x:c>
      <x:c r="J95" s="10" t="str"/>
      <x:c r="K95" s="10" t="str">
        <x:v>Pendiente</x:v>
      </x:c>
      <x:c r="L95" s="10" t="str">
        <x:v>Pendiente</x:v>
      </x:c>
      <x:c r="M95" s="11"/>
      <x:c r="N95" s="2" t="str">
        <x:f>IF(E95="No","Fuera de alcance",IF(H95="","Fuera del contrato",IF(AND(I95="No aplica",J95&lt;&gt;"",K95="Validada"),"No aplica justificado",IF(AND(I95="Realizado",J95&lt;&gt;"",K95="Validada",L95="Aceptado",ISNUMBER(M95)),"Completo",IF(AND(I95="Controlado sin novedad",J95&lt;&gt;"",K95="Validada",ISNUMBER(M95)),"Controlado",IF('Configuración'!$B$11&gt;H95,"Vencido","Pendiente"))))))</x:f>
        <x:v>Pendiente</x:v>
      </x:c>
      <x:c r="O95" s="15"/>
      <x:c r="P95" s="15"/>
    </x:row>
    <x:row r="96" ht="48" customHeight="1">
      <x:c r="A96" s="2" t="n">
        <x:v>89</x:v>
      </x:c>
      <x:c r="B96" s="16" t="str">
        <x:v>Elaboración y actualización de contratos laborales</x:v>
      </x:c>
      <x:c r="C96" s="2" t="str">
        <x:v>Trabajo y contratos</x:v>
      </x:c>
      <x:c r="D96" s="2" t="str">
        <x:v>Bajo demanda</x:v>
      </x:c>
      <x:c r="E96" s="10" t="str">
        <x:v>Sí</x:v>
      </x:c>
      <x:c r="F96" s="10" t="str">
        <x:v>Por asignar</x:v>
      </x:c>
      <x:c r="G96" s="10" t="n">
        <x:v>5</x:v>
      </x:c>
      <x:c r="H96" s="13" t="n">
        <x:f>IF(E96="No","",IF(OR('Configuración'!$B$10&gt;'Configuración'!$B$9,EOMONTH('Configuración'!$B$10,0)&lt;'Configuración'!$B$8),"",MAX('Configuración'!$B$8,MIN('Configuración'!$B$9,WORKDAY('Configuración'!$B$10-1,G96)))))</x:f>
        <x:v>46332</x:v>
      </x:c>
      <x:c r="I96" s="10" t="str">
        <x:v>Pendiente</x:v>
      </x:c>
      <x:c r="J96" s="10" t="str"/>
      <x:c r="K96" s="10" t="str">
        <x:v>Pendiente</x:v>
      </x:c>
      <x:c r="L96" s="10" t="str">
        <x:v>Pendiente</x:v>
      </x:c>
      <x:c r="M96" s="11"/>
      <x:c r="N96" s="2" t="str">
        <x:f>IF(E96="No","Fuera de alcance",IF(H96="","Fuera del contrato",IF(AND(I96="No aplica",J96&lt;&gt;"",K96="Validada"),"No aplica justificado",IF(AND(I96="Realizado",J96&lt;&gt;"",K96="Validada",L96="Aceptado",ISNUMBER(M96)),"Completo",IF(AND(I96="Controlado sin novedad",J96&lt;&gt;"",K96="Validada",ISNUMBER(M96)),"Controlado",IF('Configuración'!$B$11&gt;H96,"Vencido","Pendiente"))))))</x:f>
        <x:v>Pendiente</x:v>
      </x:c>
      <x:c r="O96" s="15"/>
      <x:c r="P96" s="15"/>
    </x:row>
    <x:row r="97" ht="48" customHeight="1">
      <x:c r="A97" s="2" t="n">
        <x:v>90</x:v>
      </x:c>
      <x:c r="B97" s="16" t="str">
        <x:v>Control de altas bajas y movimientos</x:v>
      </x:c>
      <x:c r="C97" s="2" t="str">
        <x:v>Capital humano</x:v>
      </x:c>
      <x:c r="D97" s="2" t="str">
        <x:v>Mensual</x:v>
      </x:c>
      <x:c r="E97" s="10" t="str">
        <x:v>Sí</x:v>
      </x:c>
      <x:c r="F97" s="10" t="str">
        <x:v>Por asignar</x:v>
      </x:c>
      <x:c r="G97" s="10" t="n">
        <x:v>3</x:v>
      </x:c>
      <x:c r="H97" s="13" t="n">
        <x:f>IF(E97="No","",IF(OR('Configuración'!$B$10&gt;'Configuración'!$B$9,EOMONTH('Configuración'!$B$10,0)&lt;'Configuración'!$B$8),"",MAX('Configuración'!$B$8,MIN('Configuración'!$B$9,WORKDAY('Configuración'!$B$10-1,G97)))))</x:f>
        <x:v>46330</x:v>
      </x:c>
      <x:c r="I97" s="10" t="str">
        <x:v>Pendiente</x:v>
      </x:c>
      <x:c r="J97" s="10" t="str"/>
      <x:c r="K97" s="10" t="str">
        <x:v>Pendiente</x:v>
      </x:c>
      <x:c r="L97" s="10" t="str">
        <x:v>Pendiente</x:v>
      </x:c>
      <x:c r="M97" s="11"/>
      <x:c r="N97" s="2" t="str">
        <x:f>IF(E97="No","Fuera de alcance",IF(H97="","Fuera del contrato",IF(AND(I97="No aplica",J97&lt;&gt;"",K97="Validada"),"No aplica justificado",IF(AND(I97="Realizado",J97&lt;&gt;"",K97="Validada",L97="Aceptado",ISNUMBER(M97)),"Completo",IF(AND(I97="Controlado sin novedad",J97&lt;&gt;"",K97="Validada",ISNUMBER(M97)),"Controlado",IF('Configuración'!$B$11&gt;H97,"Vencido","Pendiente"))))))</x:f>
        <x:v>Pendiente</x:v>
      </x:c>
      <x:c r="O97" s="15"/>
      <x:c r="P97" s="15"/>
    </x:row>
    <x:row r="98" ht="48" customHeight="1">
      <x:c r="A98" s="2" t="n">
        <x:v>91</x:v>
      </x:c>
      <x:c r="B98" s="16" t="str">
        <x:v>Control de asistencia vacaciones y licencias</x:v>
      </x:c>
      <x:c r="C98" s="2" t="str">
        <x:v>Capital humano</x:v>
      </x:c>
      <x:c r="D98" s="2" t="str">
        <x:v>Diaria</x:v>
      </x:c>
      <x:c r="E98" s="10" t="str">
        <x:v>Sí</x:v>
      </x:c>
      <x:c r="F98" s="10" t="str">
        <x:v>Por asignar</x:v>
      </x:c>
      <x:c r="G98" s="10" t="n">
        <x:v>3</x:v>
      </x:c>
      <x:c r="H98" s="13" t="n">
        <x:f>IF(E98="No","",IF(OR('Configuración'!$B$10&gt;'Configuración'!$B$9,EOMONTH('Configuración'!$B$10,0)&lt;'Configuración'!$B$8),"",MAX('Configuración'!$B$8,MIN('Configuración'!$B$9,WORKDAY('Configuración'!$B$10-1,G98)))))</x:f>
        <x:v>46330</x:v>
      </x:c>
      <x:c r="I98" s="10" t="str">
        <x:v>Pendiente</x:v>
      </x:c>
      <x:c r="J98" s="10" t="str"/>
      <x:c r="K98" s="10" t="str">
        <x:v>Pendiente</x:v>
      </x:c>
      <x:c r="L98" s="10" t="str">
        <x:v>Pendiente</x:v>
      </x:c>
      <x:c r="M98" s="11"/>
      <x:c r="N98" s="2" t="str">
        <x:f>IF(E98="No","Fuera de alcance",IF(H98="","Fuera del contrato",IF(AND(I98="No aplica",J98&lt;&gt;"",K98="Validada"),"No aplica justificado",IF(AND(I98="Realizado",J98&lt;&gt;"",K98="Validada",L98="Aceptado",ISNUMBER(M98)),"Completo",IF(AND(I98="Controlado sin novedad",J98&lt;&gt;"",K98="Validada",ISNUMBER(M98)),"Controlado",IF('Configuración'!$B$11&gt;H98,"Vencido","Pendiente"))))))</x:f>
        <x:v>Pendiente</x:v>
      </x:c>
      <x:c r="O98" s="15"/>
      <x:c r="P98" s="15"/>
    </x:row>
    <x:row r="99" ht="48" customHeight="1">
      <x:c r="A99" s="2" t="n">
        <x:v>92</x:v>
      </x:c>
      <x:c r="B99" s="16" t="str">
        <x:v>Revisión asistida de nómina</x:v>
      </x:c>
      <x:c r="C99" s="2" t="str">
        <x:v>Contabilidad auxiliar</x:v>
      </x:c>
      <x:c r="D99" s="2" t="str">
        <x:v>Mensual</x:v>
      </x:c>
      <x:c r="E99" s="10" t="str">
        <x:v>Sí</x:v>
      </x:c>
      <x:c r="F99" s="10" t="str">
        <x:v>Por asignar</x:v>
      </x:c>
      <x:c r="G99" s="10" t="n">
        <x:v>9</x:v>
      </x:c>
      <x:c r="H99" s="13" t="n">
        <x:f>IF(E99="No","",IF(OR('Configuración'!$B$10&gt;'Configuración'!$B$9,EOMONTH('Configuración'!$B$10,0)&lt;'Configuración'!$B$8),"",MAX('Configuración'!$B$8,MIN('Configuración'!$B$9,WORKDAY('Configuración'!$B$10-1,G99)))))</x:f>
        <x:v>46338</x:v>
      </x:c>
      <x:c r="I99" s="10" t="str">
        <x:v>Pendiente</x:v>
      </x:c>
      <x:c r="J99" s="10" t="str"/>
      <x:c r="K99" s="10" t="str">
        <x:v>Pendiente</x:v>
      </x:c>
      <x:c r="L99" s="10" t="str">
        <x:v>Pendiente</x:v>
      </x:c>
      <x:c r="M99" s="11"/>
      <x:c r="N99" s="2" t="str">
        <x:f>IF(E99="No","Fuera de alcance",IF(H99="","Fuera del contrato",IF(AND(I99="No aplica",J99&lt;&gt;"",K99="Validada"),"No aplica justificado",IF(AND(I99="Realizado",J99&lt;&gt;"",K99="Validada",L99="Aceptado",ISNUMBER(M99)),"Completo",IF(AND(I99="Controlado sin novedad",J99&lt;&gt;"",K99="Validada",ISNUMBER(M99)),"Controlado",IF('Configuración'!$B$11&gt;H99,"Vencido","Pendiente"))))))</x:f>
        <x:v>Pendiente</x:v>
      </x:c>
      <x:c r="O99" s="15"/>
      <x:c r="P99" s="15"/>
    </x:row>
    <x:row r="100" ht="48" customHeight="1">
      <x:c r="A100" s="2" t="n">
        <x:v>93</x:v>
      </x:c>
      <x:c r="B100" s="16" t="str">
        <x:v>Control de seguridad social</x:v>
      </x:c>
      <x:c r="C100" s="2" t="str">
        <x:v>Tributos y aportes</x:v>
      </x:c>
      <x:c r="D100" s="2" t="str">
        <x:v>Mensual</x:v>
      </x:c>
      <x:c r="E100" s="10" t="str">
        <x:v>Sí</x:v>
      </x:c>
      <x:c r="F100" s="10" t="str">
        <x:v>Por asignar</x:v>
      </x:c>
      <x:c r="G100" s="10" t="n">
        <x:v>9</x:v>
      </x:c>
      <x:c r="H100" s="13" t="n">
        <x:f>IF(E100="No","",IF(OR('Configuración'!$B$10&gt;'Configuración'!$B$9,EOMONTH('Configuración'!$B$10,0)&lt;'Configuración'!$B$8),"",MAX('Configuración'!$B$8,MIN('Configuración'!$B$9,WORKDAY('Configuración'!$B$10-1,G100)))))</x:f>
        <x:v>46338</x:v>
      </x:c>
      <x:c r="I100" s="10" t="str">
        <x:v>Pendiente</x:v>
      </x:c>
      <x:c r="J100" s="10" t="str"/>
      <x:c r="K100" s="10" t="str">
        <x:v>Pendiente</x:v>
      </x:c>
      <x:c r="L100" s="10" t="str">
        <x:v>Pendiente</x:v>
      </x:c>
      <x:c r="M100" s="11"/>
      <x:c r="N100" s="2" t="str">
        <x:f>IF(E100="No","Fuera de alcance",IF(H100="","Fuera del contrato",IF(AND(I100="No aplica",J100&lt;&gt;"",K100="Validada"),"No aplica justificado",IF(AND(I100="Realizado",J100&lt;&gt;"",K100="Validada",L100="Aceptado",ISNUMBER(M100)),"Completo",IF(AND(I100="Controlado sin novedad",J100&lt;&gt;"",K100="Validada",ISNUMBER(M100)),"Controlado",IF('Configuración'!$B$11&gt;H100,"Vencido","Pendiente"))))))</x:f>
        <x:v>Pendiente</x:v>
      </x:c>
      <x:c r="O100" s="15"/>
      <x:c r="P100" s="15"/>
    </x:row>
    <x:row r="101" ht="48" customHeight="1">
      <x:c r="A101" s="2" t="n">
        <x:v>94</x:v>
      </x:c>
      <x:c r="B101" s="16" t="str">
        <x:v>Capacitación y competencias</x:v>
      </x:c>
      <x:c r="C101" s="2" t="str">
        <x:v>Formación y desempeño</x:v>
      </x:c>
      <x:c r="D101" s="2" t="str">
        <x:v>Mensual</x:v>
      </x:c>
      <x:c r="E101" s="10" t="str">
        <x:v>Sí</x:v>
      </x:c>
      <x:c r="F101" s="10" t="str">
        <x:v>Por asignar</x:v>
      </x:c>
      <x:c r="G101" s="10" t="n">
        <x:v>4</x:v>
      </x:c>
      <x:c r="H101" s="13" t="n">
        <x:f>IF(E101="No","",IF(OR('Configuración'!$B$10&gt;'Configuración'!$B$9,EOMONTH('Configuración'!$B$10,0)&lt;'Configuración'!$B$8),"",MAX('Configuración'!$B$8,MIN('Configuración'!$B$9,WORKDAY('Configuración'!$B$10-1,G101)))))</x:f>
        <x:v>46331</x:v>
      </x:c>
      <x:c r="I101" s="10" t="str">
        <x:v>Pendiente</x:v>
      </x:c>
      <x:c r="J101" s="10" t="str"/>
      <x:c r="K101" s="10" t="str">
        <x:v>Pendiente</x:v>
      </x:c>
      <x:c r="L101" s="10" t="str">
        <x:v>Pendiente</x:v>
      </x:c>
      <x:c r="M101" s="11"/>
      <x:c r="N101" s="2" t="str">
        <x:f>IF(E101="No","Fuera de alcance",IF(H101="","Fuera del contrato",IF(AND(I101="No aplica",J101&lt;&gt;"",K101="Validada"),"No aplica justificado",IF(AND(I101="Realizado",J101&lt;&gt;"",K101="Validada",L101="Aceptado",ISNUMBER(M101)),"Completo",IF(AND(I101="Controlado sin novedad",J101&lt;&gt;"",K101="Validada",ISNUMBER(M101)),"Controlado",IF('Configuración'!$B$11&gt;H101,"Vencido","Pendiente"))))))</x:f>
        <x:v>Pendiente</x:v>
      </x:c>
      <x:c r="O101" s="15"/>
      <x:c r="P101" s="15"/>
    </x:row>
    <x:row r="102" ht="48" customHeight="1">
      <x:c r="A102" s="2" t="n">
        <x:v>95</x:v>
      </x:c>
      <x:c r="B102" s="16" t="str">
        <x:v>Evaluación del desempeño</x:v>
      </x:c>
      <x:c r="C102" s="2" t="str">
        <x:v>Formación y desempeño</x:v>
      </x:c>
      <x:c r="D102" s="2" t="str">
        <x:v>Mensual</x:v>
      </x:c>
      <x:c r="E102" s="10" t="str">
        <x:v>Sí</x:v>
      </x:c>
      <x:c r="F102" s="10" t="str">
        <x:v>Por asignar</x:v>
      </x:c>
      <x:c r="G102" s="10" t="n">
        <x:v>4</x:v>
      </x:c>
      <x:c r="H102" s="13" t="n">
        <x:f>IF(E102="No","",IF(OR('Configuración'!$B$10&gt;'Configuración'!$B$9,EOMONTH('Configuración'!$B$10,0)&lt;'Configuración'!$B$8),"",MAX('Configuración'!$B$8,MIN('Configuración'!$B$9,WORKDAY('Configuración'!$B$10-1,G102)))))</x:f>
        <x:v>46331</x:v>
      </x:c>
      <x:c r="I102" s="10" t="str">
        <x:v>Pendiente</x:v>
      </x:c>
      <x:c r="J102" s="10" t="str"/>
      <x:c r="K102" s="10" t="str">
        <x:v>Pendiente</x:v>
      </x:c>
      <x:c r="L102" s="10" t="str">
        <x:v>Pendiente</x:v>
      </x:c>
      <x:c r="M102" s="11"/>
      <x:c r="N102" s="2" t="str">
        <x:f>IF(E102="No","Fuera de alcance",IF(H102="","Fuera del contrato",IF(AND(I102="No aplica",J102&lt;&gt;"",K102="Validada"),"No aplica justificado",IF(AND(I102="Realizado",J102&lt;&gt;"",K102="Validada",L102="Aceptado",ISNUMBER(M102)),"Completo",IF(AND(I102="Controlado sin novedad",J102&lt;&gt;"",K102="Validada",ISNUMBER(M102)),"Controlado",IF('Configuración'!$B$11&gt;H102,"Vencido","Pendiente"))))))</x:f>
        <x:v>Pendiente</x:v>
      </x:c>
      <x:c r="O102" s="15"/>
      <x:c r="P102" s="15"/>
    </x:row>
    <x:row r="103" ht="48" customHeight="1">
      <x:c r="A103" s="2" t="n">
        <x:v>96</x:v>
      </x:c>
      <x:c r="B103" s="16" t="str">
        <x:v>Seguridad y salud en el trabajo</x:v>
      </x:c>
      <x:c r="C103" s="2" t="str">
        <x:v>Seguridad y salud</x:v>
      </x:c>
      <x:c r="D103" s="2" t="str">
        <x:v>Mensual</x:v>
      </x:c>
      <x:c r="E103" s="10" t="str">
        <x:v>Sí</x:v>
      </x:c>
      <x:c r="F103" s="10" t="str">
        <x:v>Por asignar</x:v>
      </x:c>
      <x:c r="G103" s="10" t="n">
        <x:v>6</x:v>
      </x:c>
      <x:c r="H103" s="13" t="n">
        <x:f>IF(E103="No","",IF(OR('Configuración'!$B$10&gt;'Configuración'!$B$9,EOMONTH('Configuración'!$B$10,0)&lt;'Configuración'!$B$8),"",MAX('Configuración'!$B$8,MIN('Configuración'!$B$9,WORKDAY('Configuración'!$B$10-1,G103)))))</x:f>
        <x:v>46335</x:v>
      </x:c>
      <x:c r="I103" s="10" t="str">
        <x:v>Pendiente</x:v>
      </x:c>
      <x:c r="J103" s="10" t="str"/>
      <x:c r="K103" s="10" t="str">
        <x:v>Pendiente</x:v>
      </x:c>
      <x:c r="L103" s="10" t="str">
        <x:v>Pendiente</x:v>
      </x:c>
      <x:c r="M103" s="11"/>
      <x:c r="N103" s="2" t="str">
        <x:f>IF(E103="No","Fuera de alcance",IF(H103="","Fuera del contrato",IF(AND(I103="No aplica",J103&lt;&gt;"",K103="Validada"),"No aplica justificado",IF(AND(I103="Realizado",J103&lt;&gt;"",K103="Validada",L103="Aceptado",ISNUMBER(M103)),"Completo",IF(AND(I103="Controlado sin novedad",J103&lt;&gt;"",K103="Validada",ISNUMBER(M103)),"Controlado",IF('Configuración'!$B$11&gt;H103,"Vencido","Pendiente"))))))</x:f>
        <x:v>Pendiente</x:v>
      </x:c>
      <x:c r="O103" s="15"/>
      <x:c r="P103" s="15"/>
    </x:row>
    <x:row r="104" ht="48" customHeight="1">
      <x:c r="A104" s="2" t="n">
        <x:v>97</x:v>
      </x:c>
      <x:c r="B104" s="16" t="str">
        <x:v>Indicadores de recursos humanos</x:v>
      </x:c>
      <x:c r="C104" s="2" t="str">
        <x:v>Capital humano</x:v>
      </x:c>
      <x:c r="D104" s="2" t="str">
        <x:v>Semanal</x:v>
      </x:c>
      <x:c r="E104" s="10" t="str">
        <x:v>Sí</x:v>
      </x:c>
      <x:c r="F104" s="10" t="str">
        <x:v>Por asignar</x:v>
      </x:c>
      <x:c r="G104" s="10" t="n">
        <x:v>3</x:v>
      </x:c>
      <x:c r="H104" s="13" t="n">
        <x:f>IF(E104="No","",IF(OR('Configuración'!$B$10&gt;'Configuración'!$B$9,EOMONTH('Configuración'!$B$10,0)&lt;'Configuración'!$B$8),"",MAX('Configuración'!$B$8,MIN('Configuración'!$B$9,WORKDAY('Configuración'!$B$10-1,G104)))))</x:f>
        <x:v>46330</x:v>
      </x:c>
      <x:c r="I104" s="10" t="str">
        <x:v>Pendiente</x:v>
      </x:c>
      <x:c r="J104" s="10" t="str"/>
      <x:c r="K104" s="10" t="str">
        <x:v>Pendiente</x:v>
      </x:c>
      <x:c r="L104" s="10" t="str">
        <x:v>Pendiente</x:v>
      </x:c>
      <x:c r="M104" s="11"/>
      <x:c r="N104" s="2" t="str">
        <x:f>IF(E104="No","Fuera de alcance",IF(H104="","Fuera del contrato",IF(AND(I104="No aplica",J104&lt;&gt;"",K104="Validada"),"No aplica justificado",IF(AND(I104="Realizado",J104&lt;&gt;"",K104="Validada",L104="Aceptado",ISNUMBER(M104)),"Completo",IF(AND(I104="Controlado sin novedad",J104&lt;&gt;"",K104="Validada",ISNUMBER(M104)),"Controlado",IF('Configuración'!$B$11&gt;H104,"Vencido","Pendiente"))))))</x:f>
        <x:v>Pendiente</x:v>
      </x:c>
      <x:c r="O104" s="15"/>
      <x:c r="P104" s="15"/>
    </x:row>
    <x:row r="105" ht="48" customHeight="1">
      <x:c r="A105" s="2" t="n">
        <x:v>98</x:v>
      </x:c>
      <x:c r="B105" s="16" t="str">
        <x:v>Diseño de indicadores</x:v>
      </x:c>
      <x:c r="C105" s="2" t="str">
        <x:v>Indicadores</x:v>
      </x:c>
      <x:c r="D105" s="2" t="str">
        <x:v>Mensual</x:v>
      </x:c>
      <x:c r="E105" s="10" t="str">
        <x:v>Sí</x:v>
      </x:c>
      <x:c r="F105" s="10" t="str">
        <x:v>Por asignar</x:v>
      </x:c>
      <x:c r="G105" s="10" t="n">
        <x:v>12</x:v>
      </x:c>
      <x:c r="H105" s="13" t="n">
        <x:f>IF(E105="No","",IF(OR('Configuración'!$B$10&gt;'Configuración'!$B$9,EOMONTH('Configuración'!$B$10,0)&lt;'Configuración'!$B$8),"",MAX('Configuración'!$B$8,MIN('Configuración'!$B$9,WORKDAY('Configuración'!$B$10-1,G105)))))</x:f>
        <x:v>46343</x:v>
      </x:c>
      <x:c r="I105" s="10" t="str">
        <x:v>Pendiente</x:v>
      </x:c>
      <x:c r="J105" s="10" t="str"/>
      <x:c r="K105" s="10" t="str">
        <x:v>Pendiente</x:v>
      </x:c>
      <x:c r="L105" s="10" t="str">
        <x:v>Pendiente</x:v>
      </x:c>
      <x:c r="M105" s="11"/>
      <x:c r="N105" s="2" t="str">
        <x:f>IF(E105="No","Fuera de alcance",IF(H105="","Fuera del contrato",IF(AND(I105="No aplica",J105&lt;&gt;"",K105="Validada"),"No aplica justificado",IF(AND(I105="Realizado",J105&lt;&gt;"",K105="Validada",L105="Aceptado",ISNUMBER(M105)),"Completo",IF(AND(I105="Controlado sin novedad",J105&lt;&gt;"",K105="Validada",ISNUMBER(M105)),"Controlado",IF('Configuración'!$B$11&gt;H105,"Vencido","Pendiente"))))))</x:f>
        <x:v>Pendiente</x:v>
      </x:c>
      <x:c r="O105" s="15"/>
      <x:c r="P105" s="15"/>
    </x:row>
    <x:row r="106" ht="48" customHeight="1">
      <x:c r="A106" s="2" t="n">
        <x:v>99</x:v>
      </x:c>
      <x:c r="B106" s="16" t="str">
        <x:v>Captura y consolidación estadística</x:v>
      </x:c>
      <x:c r="C106" s="2" t="str">
        <x:v>Indicadores</x:v>
      </x:c>
      <x:c r="D106" s="2" t="str">
        <x:v>Semanal</x:v>
      </x:c>
      <x:c r="E106" s="10" t="str">
        <x:v>Sí</x:v>
      </x:c>
      <x:c r="F106" s="10" t="str">
        <x:v>Por asignar</x:v>
      </x:c>
      <x:c r="G106" s="10" t="n">
        <x:v>12</x:v>
      </x:c>
      <x:c r="H106" s="13" t="n">
        <x:f>IF(E106="No","",IF(OR('Configuración'!$B$10&gt;'Configuración'!$B$9,EOMONTH('Configuración'!$B$10,0)&lt;'Configuración'!$B$8),"",MAX('Configuración'!$B$8,MIN('Configuración'!$B$9,WORKDAY('Configuración'!$B$10-1,G106)))))</x:f>
        <x:v>46343</x:v>
      </x:c>
      <x:c r="I106" s="10" t="str">
        <x:v>Pendiente</x:v>
      </x:c>
      <x:c r="J106" s="10" t="str"/>
      <x:c r="K106" s="10" t="str">
        <x:v>Pendiente</x:v>
      </x:c>
      <x:c r="L106" s="10" t="str">
        <x:v>Pendiente</x:v>
      </x:c>
      <x:c r="M106" s="11"/>
      <x:c r="N106" s="2" t="str">
        <x:f>IF(E106="No","Fuera de alcance",IF(H106="","Fuera del contrato",IF(AND(I106="No aplica",J106&lt;&gt;"",K106="Validada"),"No aplica justificado",IF(AND(I106="Realizado",J106&lt;&gt;"",K106="Validada",L106="Aceptado",ISNUMBER(M106)),"Completo",IF(AND(I106="Controlado sin novedad",J106&lt;&gt;"",K106="Validada",ISNUMBER(M106)),"Controlado",IF('Configuración'!$B$11&gt;H106,"Vencido","Pendiente"))))))</x:f>
        <x:v>Pendiente</x:v>
      </x:c>
      <x:c r="O106" s="15"/>
      <x:c r="P106" s="15"/>
    </x:row>
    <x:row r="107" ht="48" customHeight="1">
      <x:c r="A107" s="2" t="n">
        <x:v>100</x:v>
      </x:c>
      <x:c r="B107" s="16" t="str">
        <x:v>Tableros de gestión</x:v>
      </x:c>
      <x:c r="C107" s="2" t="str">
        <x:v>Indicadores</x:v>
      </x:c>
      <x:c r="D107" s="2" t="str">
        <x:v>Semanal</x:v>
      </x:c>
      <x:c r="E107" s="10" t="str">
        <x:v>Sí</x:v>
      </x:c>
      <x:c r="F107" s="10" t="str">
        <x:v>Por asignar</x:v>
      </x:c>
      <x:c r="G107" s="10" t="n">
        <x:v>12</x:v>
      </x:c>
      <x:c r="H107" s="13" t="n">
        <x:f>IF(E107="No","",IF(OR('Configuración'!$B$10&gt;'Configuración'!$B$9,EOMONTH('Configuración'!$B$10,0)&lt;'Configuración'!$B$8),"",MAX('Configuración'!$B$8,MIN('Configuración'!$B$9,WORKDAY('Configuración'!$B$10-1,G107)))))</x:f>
        <x:v>46343</x:v>
      </x:c>
      <x:c r="I107" s="10" t="str">
        <x:v>Pendiente</x:v>
      </x:c>
      <x:c r="J107" s="10" t="str"/>
      <x:c r="K107" s="10" t="str">
        <x:v>Pendiente</x:v>
      </x:c>
      <x:c r="L107" s="10" t="str">
        <x:v>Pendiente</x:v>
      </x:c>
      <x:c r="M107" s="11"/>
      <x:c r="N107" s="2" t="str">
        <x:f>IF(E107="No","Fuera de alcance",IF(H107="","Fuera del contrato",IF(AND(I107="No aplica",J107&lt;&gt;"",K107="Validada"),"No aplica justificado",IF(AND(I107="Realizado",J107&lt;&gt;"",K107="Validada",L107="Aceptado",ISNUMBER(M107)),"Completo",IF(AND(I107="Controlado sin novedad",J107&lt;&gt;"",K107="Validada",ISNUMBER(M107)),"Controlado",IF('Configuración'!$B$11&gt;H107,"Vencido","Pendiente"))))))</x:f>
        <x:v>Pendiente</x:v>
      </x:c>
      <x:c r="O107" s="15"/>
      <x:c r="P107" s="15"/>
    </x:row>
    <x:row r="108" ht="48" customHeight="1">
      <x:c r="A108" s="2" t="n">
        <x:v>101</x:v>
      </x:c>
      <x:c r="B108" s="16" t="str">
        <x:v>Análisis de tendencias</x:v>
      </x:c>
      <x:c r="C108" s="2" t="str">
        <x:v>Indicadores</x:v>
      </x:c>
      <x:c r="D108" s="2" t="str">
        <x:v>Mensual</x:v>
      </x:c>
      <x:c r="E108" s="10" t="str">
        <x:v>Sí</x:v>
      </x:c>
      <x:c r="F108" s="10" t="str">
        <x:v>Por asignar</x:v>
      </x:c>
      <x:c r="G108" s="10" t="n">
        <x:v>12</x:v>
      </x:c>
      <x:c r="H108" s="13" t="n">
        <x:f>IF(E108="No","",IF(OR('Configuración'!$B$10&gt;'Configuración'!$B$9,EOMONTH('Configuración'!$B$10,0)&lt;'Configuración'!$B$8),"",MAX('Configuración'!$B$8,MIN('Configuración'!$B$9,WORKDAY('Configuración'!$B$10-1,G108)))))</x:f>
        <x:v>46343</x:v>
      </x:c>
      <x:c r="I108" s="10" t="str">
        <x:v>Pendiente</x:v>
      </x:c>
      <x:c r="J108" s="10" t="str"/>
      <x:c r="K108" s="10" t="str">
        <x:v>Pendiente</x:v>
      </x:c>
      <x:c r="L108" s="10" t="str">
        <x:v>Pendiente</x:v>
      </x:c>
      <x:c r="M108" s="11"/>
      <x:c r="N108" s="2" t="str">
        <x:f>IF(E108="No","Fuera de alcance",IF(H108="","Fuera del contrato",IF(AND(I108="No aplica",J108&lt;&gt;"",K108="Validada"),"No aplica justificado",IF(AND(I108="Realizado",J108&lt;&gt;"",K108="Validada",L108="Aceptado",ISNUMBER(M108)),"Completo",IF(AND(I108="Controlado sin novedad",J108&lt;&gt;"",K108="Validada",ISNUMBER(M108)),"Controlado",IF('Configuración'!$B$11&gt;H108,"Vencido","Pendiente"))))))</x:f>
        <x:v>Pendiente</x:v>
      </x:c>
      <x:c r="O108" s="15"/>
      <x:c r="P108" s="15"/>
    </x:row>
    <x:row r="109" ht="48" customHeight="1">
      <x:c r="A109" s="2" t="n">
        <x:v>102</x:v>
      </x:c>
      <x:c r="B109" s="16" t="str">
        <x:v>Preparación de reportes estadísticos</x:v>
      </x:c>
      <x:c r="C109" s="2" t="str">
        <x:v>Indicadores</x:v>
      </x:c>
      <x:c r="D109" s="2" t="str">
        <x:v>Mensual</x:v>
      </x:c>
      <x:c r="E109" s="10" t="str">
        <x:v>Sí</x:v>
      </x:c>
      <x:c r="F109" s="10" t="str">
        <x:v>Por asignar</x:v>
      </x:c>
      <x:c r="G109" s="10" t="n">
        <x:v>12</x:v>
      </x:c>
      <x:c r="H109" s="13" t="n">
        <x:f>IF(E109="No","",IF(OR('Configuración'!$B$10&gt;'Configuración'!$B$9,EOMONTH('Configuración'!$B$10,0)&lt;'Configuración'!$B$8),"",MAX('Configuración'!$B$8,MIN('Configuración'!$B$9,WORKDAY('Configuración'!$B$10-1,G109)))))</x:f>
        <x:v>46343</x:v>
      </x:c>
      <x:c r="I109" s="10" t="str">
        <x:v>Pendiente</x:v>
      </x:c>
      <x:c r="J109" s="10" t="str"/>
      <x:c r="K109" s="10" t="str">
        <x:v>Pendiente</x:v>
      </x:c>
      <x:c r="L109" s="10" t="str">
        <x:v>Pendiente</x:v>
      </x:c>
      <x:c r="M109" s="11"/>
      <x:c r="N109" s="2" t="str">
        <x:f>IF(E109="No","Fuera de alcance",IF(H109="","Fuera del contrato",IF(AND(I109="No aplica",J109&lt;&gt;"",K109="Validada"),"No aplica justificado",IF(AND(I109="Realizado",J109&lt;&gt;"",K109="Validada",L109="Aceptado",ISNUMBER(M109)),"Completo",IF(AND(I109="Controlado sin novedad",J109&lt;&gt;"",K109="Validada",ISNUMBER(M109)),"Controlado",IF('Configuración'!$B$11&gt;H109,"Vencido","Pendiente"))))))</x:f>
        <x:v>Pendiente</x:v>
      </x:c>
      <x:c r="O109" s="15"/>
      <x:c r="P109" s="15"/>
    </x:row>
    <x:row r="110" ht="48" customHeight="1">
      <x:c r="A110" s="2" t="n">
        <x:v>103</x:v>
      </x:c>
      <x:c r="B110" s="16" t="str">
        <x:v>Control de calidad de datos</x:v>
      </x:c>
      <x:c r="C110" s="2" t="str">
        <x:v>Indicadores</x:v>
      </x:c>
      <x:c r="D110" s="2" t="str">
        <x:v>Semanal</x:v>
      </x:c>
      <x:c r="E110" s="10" t="str">
        <x:v>Sí</x:v>
      </x:c>
      <x:c r="F110" s="10" t="str">
        <x:v>Por asignar</x:v>
      </x:c>
      <x:c r="G110" s="10" t="n">
        <x:v>12</x:v>
      </x:c>
      <x:c r="H110" s="13" t="n">
        <x:f>IF(E110="No","",IF(OR('Configuración'!$B$10&gt;'Configuración'!$B$9,EOMONTH('Configuración'!$B$10,0)&lt;'Configuración'!$B$8),"",MAX('Configuración'!$B$8,MIN('Configuración'!$B$9,WORKDAY('Configuración'!$B$10-1,G110)))))</x:f>
        <x:v>46343</x:v>
      </x:c>
      <x:c r="I110" s="10" t="str">
        <x:v>Pendiente</x:v>
      </x:c>
      <x:c r="J110" s="10" t="str"/>
      <x:c r="K110" s="10" t="str">
        <x:v>Pendiente</x:v>
      </x:c>
      <x:c r="L110" s="10" t="str">
        <x:v>Pendiente</x:v>
      </x:c>
      <x:c r="M110" s="11"/>
      <x:c r="N110" s="2" t="str">
        <x:f>IF(E110="No","Fuera de alcance",IF(H110="","Fuera del contrato",IF(AND(I110="No aplica",J110&lt;&gt;"",K110="Validada"),"No aplica justificado",IF(AND(I110="Realizado",J110&lt;&gt;"",K110="Validada",L110="Aceptado",ISNUMBER(M110)),"Completo",IF(AND(I110="Controlado sin novedad",J110&lt;&gt;"",K110="Validada",ISNUMBER(M110)),"Controlado",IF('Configuración'!$B$11&gt;H110,"Vencido","Pendiente"))))))</x:f>
        <x:v>Pendiente</x:v>
      </x:c>
      <x:c r="O110" s="15"/>
      <x:c r="P110" s="15"/>
    </x:row>
    <x:row r="111" ht="48" customHeight="1">
      <x:c r="A111" s="2" t="n">
        <x:v>104</x:v>
      </x:c>
      <x:c r="B111" s="16" t="str">
        <x:v>Diagnóstico y formulación de proyectos</x:v>
      </x:c>
      <x:c r="C111" s="2" t="str">
        <x:v>Factibilidad</x:v>
      </x:c>
      <x:c r="D111" s="2" t="str">
        <x:v>Bajo demanda</x:v>
      </x:c>
      <x:c r="E111" s="10" t="str">
        <x:v>Sí</x:v>
      </x:c>
      <x:c r="F111" s="10" t="str">
        <x:v>Por asignar</x:v>
      </x:c>
      <x:c r="G111" s="10" t="n">
        <x:v>8</x:v>
      </x:c>
      <x:c r="H111" s="13" t="n">
        <x:f>IF(E111="No","",IF(OR('Configuración'!$B$10&gt;'Configuración'!$B$9,EOMONTH('Configuración'!$B$10,0)&lt;'Configuración'!$B$8),"",MAX('Configuración'!$B$8,MIN('Configuración'!$B$9,WORKDAY('Configuración'!$B$10-1,G111)))))</x:f>
        <x:v>46337</x:v>
      </x:c>
      <x:c r="I111" s="10" t="str">
        <x:v>Pendiente</x:v>
      </x:c>
      <x:c r="J111" s="10" t="str"/>
      <x:c r="K111" s="10" t="str">
        <x:v>Pendiente</x:v>
      </x:c>
      <x:c r="L111" s="10" t="str">
        <x:v>Pendiente</x:v>
      </x:c>
      <x:c r="M111" s="11"/>
      <x:c r="N111" s="2" t="str">
        <x:f>IF(E111="No","Fuera de alcance",IF(H111="","Fuera del contrato",IF(AND(I111="No aplica",J111&lt;&gt;"",K111="Validada"),"No aplica justificado",IF(AND(I111="Realizado",J111&lt;&gt;"",K111="Validada",L111="Aceptado",ISNUMBER(M111)),"Completo",IF(AND(I111="Controlado sin novedad",J111&lt;&gt;"",K111="Validada",ISNUMBER(M111)),"Controlado",IF('Configuración'!$B$11&gt;H111,"Vencido","Pendiente"))))))</x:f>
        <x:v>Pendiente</x:v>
      </x:c>
      <x:c r="O111" s="15"/>
      <x:c r="P111" s="15"/>
    </x:row>
    <x:row r="112" ht="48" customHeight="1">
      <x:c r="A112" s="2" t="n">
        <x:v>105</x:v>
      </x:c>
      <x:c r="B112" s="16" t="str">
        <x:v>Control físico financiero</x:v>
      </x:c>
      <x:c r="C112" s="2" t="str">
        <x:v>Seguimiento de proyectos</x:v>
      </x:c>
      <x:c r="D112" s="2" t="str">
        <x:v>Semanal</x:v>
      </x:c>
      <x:c r="E112" s="10" t="str">
        <x:v>Sí</x:v>
      </x:c>
      <x:c r="F112" s="10" t="str">
        <x:v>Por asignar</x:v>
      </x:c>
      <x:c r="G112" s="10" t="n">
        <x:v>12</x:v>
      </x:c>
      <x:c r="H112" s="13" t="n">
        <x:f>IF(E112="No","",IF(OR('Configuración'!$B$10&gt;'Configuración'!$B$9,EOMONTH('Configuración'!$B$10,0)&lt;'Configuración'!$B$8),"",MAX('Configuración'!$B$8,MIN('Configuración'!$B$9,WORKDAY('Configuración'!$B$10-1,G112)))))</x:f>
        <x:v>46343</x:v>
      </x:c>
      <x:c r="I112" s="10" t="str">
        <x:v>Pendiente</x:v>
      </x:c>
      <x:c r="J112" s="10" t="str"/>
      <x:c r="K112" s="10" t="str">
        <x:v>Pendiente</x:v>
      </x:c>
      <x:c r="L112" s="10" t="str">
        <x:v>Pendiente</x:v>
      </x:c>
      <x:c r="M112" s="11"/>
      <x:c r="N112" s="2" t="str">
        <x:f>IF(E112="No","Fuera de alcance",IF(H112="","Fuera del contrato",IF(AND(I112="No aplica",J112&lt;&gt;"",K112="Validada"),"No aplica justificado",IF(AND(I112="Realizado",J112&lt;&gt;"",K112="Validada",L112="Aceptado",ISNUMBER(M112)),"Completo",IF(AND(I112="Controlado sin novedad",J112&lt;&gt;"",K112="Validada",ISNUMBER(M112)),"Controlado",IF('Configuración'!$B$11&gt;H112,"Vencido","Pendiente"))))))</x:f>
        <x:v>Pendiente</x:v>
      </x:c>
      <x:c r="O112" s="15"/>
      <x:c r="P112" s="15"/>
    </x:row>
    <x:row r="113" ht="48" customHeight="1">
      <x:c r="A113" s="2" t="n">
        <x:v>106</x:v>
      </x:c>
      <x:c r="B113" s="16" t="str">
        <x:v>Seguimiento de hitos</x:v>
      </x:c>
      <x:c r="C113" s="2" t="str">
        <x:v>Seguimiento de proyectos</x:v>
      </x:c>
      <x:c r="D113" s="2" t="str">
        <x:v>Semanal</x:v>
      </x:c>
      <x:c r="E113" s="10" t="str">
        <x:v>Sí</x:v>
      </x:c>
      <x:c r="F113" s="10" t="str">
        <x:v>Por asignar</x:v>
      </x:c>
      <x:c r="G113" s="10" t="n">
        <x:v>12</x:v>
      </x:c>
      <x:c r="H113" s="13" t="n">
        <x:f>IF(E113="No","",IF(OR('Configuración'!$B$10&gt;'Configuración'!$B$9,EOMONTH('Configuración'!$B$10,0)&lt;'Configuración'!$B$8),"",MAX('Configuración'!$B$8,MIN('Configuración'!$B$9,WORKDAY('Configuración'!$B$10-1,G113)))))</x:f>
        <x:v>46343</x:v>
      </x:c>
      <x:c r="I113" s="10" t="str">
        <x:v>Pendiente</x:v>
      </x:c>
      <x:c r="J113" s="10" t="str"/>
      <x:c r="K113" s="10" t="str">
        <x:v>Pendiente</x:v>
      </x:c>
      <x:c r="L113" s="10" t="str">
        <x:v>Pendiente</x:v>
      </x:c>
      <x:c r="M113" s="11"/>
      <x:c r="N113" s="2" t="str">
        <x:f>IF(E113="No","Fuera de alcance",IF(H113="","Fuera del contrato",IF(AND(I113="No aplica",J113&lt;&gt;"",K113="Validada"),"No aplica justificado",IF(AND(I113="Realizado",J113&lt;&gt;"",K113="Validada",L113="Aceptado",ISNUMBER(M113)),"Completo",IF(AND(I113="Controlado sin novedad",J113&lt;&gt;"",K113="Validada",ISNUMBER(M113)),"Controlado",IF('Configuración'!$B$11&gt;H113,"Vencido","Pendiente"))))))</x:f>
        <x:v>Pendiente</x:v>
      </x:c>
      <x:c r="O113" s="15"/>
      <x:c r="P113" s="15"/>
    </x:row>
    <x:row r="114" ht="48" customHeight="1">
      <x:c r="A114" s="2" t="n">
        <x:v>107</x:v>
      </x:c>
      <x:c r="B114" s="16" t="str">
        <x:v>Control de presupuesto del proyecto</x:v>
      </x:c>
      <x:c r="C114" s="2" t="str">
        <x:v>Seguimiento de proyectos</x:v>
      </x:c>
      <x:c r="D114" s="2" t="str">
        <x:v>Mensual</x:v>
      </x:c>
      <x:c r="E114" s="10" t="str">
        <x:v>Sí</x:v>
      </x:c>
      <x:c r="F114" s="10" t="str">
        <x:v>Por asignar</x:v>
      </x:c>
      <x:c r="G114" s="10" t="n">
        <x:v>12</x:v>
      </x:c>
      <x:c r="H114" s="13" t="n">
        <x:f>IF(E114="No","",IF(OR('Configuración'!$B$10&gt;'Configuración'!$B$9,EOMONTH('Configuración'!$B$10,0)&lt;'Configuración'!$B$8),"",MAX('Configuración'!$B$8,MIN('Configuración'!$B$9,WORKDAY('Configuración'!$B$10-1,G114)))))</x:f>
        <x:v>46343</x:v>
      </x:c>
      <x:c r="I114" s="10" t="str">
        <x:v>Pendiente</x:v>
      </x:c>
      <x:c r="J114" s="10" t="str"/>
      <x:c r="K114" s="10" t="str">
        <x:v>Pendiente</x:v>
      </x:c>
      <x:c r="L114" s="10" t="str">
        <x:v>Pendiente</x:v>
      </x:c>
      <x:c r="M114" s="11"/>
      <x:c r="N114" s="2" t="str">
        <x:f>IF(E114="No","Fuera de alcance",IF(H114="","Fuera del contrato",IF(AND(I114="No aplica",J114&lt;&gt;"",K114="Validada"),"No aplica justificado",IF(AND(I114="Realizado",J114&lt;&gt;"",K114="Validada",L114="Aceptado",ISNUMBER(M114)),"Completo",IF(AND(I114="Controlado sin novedad",J114&lt;&gt;"",K114="Validada",ISNUMBER(M114)),"Controlado",IF('Configuración'!$B$11&gt;H114,"Vencido","Pendiente"))))))</x:f>
        <x:v>Pendiente</x:v>
      </x:c>
      <x:c r="O114" s="15"/>
      <x:c r="P114" s="15"/>
    </x:row>
    <x:row r="115" ht="48" customHeight="1">
      <x:c r="A115" s="2" t="n">
        <x:v>108</x:v>
      </x:c>
      <x:c r="B115" s="16" t="str">
        <x:v>Informes de avance</x:v>
      </x:c>
      <x:c r="C115" s="2" t="str">
        <x:v>Seguimiento de proyectos</x:v>
      </x:c>
      <x:c r="D115" s="2" t="str">
        <x:v>Semanal</x:v>
      </x:c>
      <x:c r="E115" s="10" t="str">
        <x:v>Sí</x:v>
      </x:c>
      <x:c r="F115" s="10" t="str">
        <x:v>Por asignar</x:v>
      </x:c>
      <x:c r="G115" s="10" t="n">
        <x:v>12</x:v>
      </x:c>
      <x:c r="H115" s="13" t="n">
        <x:f>IF(E115="No","",IF(OR('Configuración'!$B$10&gt;'Configuración'!$B$9,EOMONTH('Configuración'!$B$10,0)&lt;'Configuración'!$B$8),"",MAX('Configuración'!$B$8,MIN('Configuración'!$B$9,WORKDAY('Configuración'!$B$10-1,G115)))))</x:f>
        <x:v>46343</x:v>
      </x:c>
      <x:c r="I115" s="10" t="str">
        <x:v>Pendiente</x:v>
      </x:c>
      <x:c r="J115" s="10" t="str"/>
      <x:c r="K115" s="10" t="str">
        <x:v>Pendiente</x:v>
      </x:c>
      <x:c r="L115" s="10" t="str">
        <x:v>Pendiente</x:v>
      </x:c>
      <x:c r="M115" s="11"/>
      <x:c r="N115" s="2" t="str">
        <x:f>IF(E115="No","Fuera de alcance",IF(H115="","Fuera del contrato",IF(AND(I115="No aplica",J115&lt;&gt;"",K115="Validada"),"No aplica justificado",IF(AND(I115="Realizado",J115&lt;&gt;"",K115="Validada",L115="Aceptado",ISNUMBER(M115)),"Completo",IF(AND(I115="Controlado sin novedad",J115&lt;&gt;"",K115="Validada",ISNUMBER(M115)),"Controlado",IF('Configuración'!$B$11&gt;H115,"Vencido","Pendiente"))))))</x:f>
        <x:v>Pendiente</x:v>
      </x:c>
      <x:c r="O115" s="15"/>
      <x:c r="P115" s="15"/>
    </x:row>
    <x:row r="116" ht="48" customHeight="1">
      <x:c r="A116" s="2" t="n">
        <x:v>109</x:v>
      </x:c>
      <x:c r="B116" s="16" t="str">
        <x:v>Cierre y evaluación de proyectos</x:v>
      </x:c>
      <x:c r="C116" s="2" t="str">
        <x:v>Seguimiento de proyectos</x:v>
      </x:c>
      <x:c r="D116" s="2" t="str">
        <x:v>Mensual</x:v>
      </x:c>
      <x:c r="E116" s="10" t="str">
        <x:v>Sí</x:v>
      </x:c>
      <x:c r="F116" s="10" t="str">
        <x:v>Por asignar</x:v>
      </x:c>
      <x:c r="G116" s="10" t="n">
        <x:v>12</x:v>
      </x:c>
      <x:c r="H116" s="13" t="n">
        <x:f>IF(E116="No","",IF(OR('Configuración'!$B$10&gt;'Configuración'!$B$9,EOMONTH('Configuración'!$B$10,0)&lt;'Configuración'!$B$8),"",MAX('Configuración'!$B$8,MIN('Configuración'!$B$9,WORKDAY('Configuración'!$B$10-1,G116)))))</x:f>
        <x:v>46343</x:v>
      </x:c>
      <x:c r="I116" s="10" t="str">
        <x:v>Pendiente</x:v>
      </x:c>
      <x:c r="J116" s="10" t="str"/>
      <x:c r="K116" s="10" t="str">
        <x:v>Pendiente</x:v>
      </x:c>
      <x:c r="L116" s="10" t="str">
        <x:v>Pendiente</x:v>
      </x:c>
      <x:c r="M116" s="11"/>
      <x:c r="N116" s="2" t="str">
        <x:f>IF(E116="No","Fuera de alcance",IF(H116="","Fuera del contrato",IF(AND(I116="No aplica",J116&lt;&gt;"",K116="Validada"),"No aplica justificado",IF(AND(I116="Realizado",J116&lt;&gt;"",K116="Validada",L116="Aceptado",ISNUMBER(M116)),"Completo",IF(AND(I116="Controlado sin novedad",J116&lt;&gt;"",K116="Validada",ISNUMBER(M116)),"Controlado",IF('Configuración'!$B$11&gt;H116,"Vencido","Pendiente"))))))</x:f>
        <x:v>Pendiente</x:v>
      </x:c>
      <x:c r="O116" s="15"/>
      <x:c r="P116" s="15"/>
    </x:row>
    <x:row r="117" ht="48" customHeight="1">
      <x:c r="A117" s="2" t="n">
        <x:v>110</x:v>
      </x:c>
      <x:c r="B117" s="16" t="str">
        <x:v>Gestión de solicitudes de compra</x:v>
      </x:c>
      <x:c r="C117" s="2" t="str">
        <x:v>Compras y proveedores</x:v>
      </x:c>
      <x:c r="D117" s="2" t="str">
        <x:v>Diaria</x:v>
      </x:c>
      <x:c r="E117" s="10" t="str">
        <x:v>Sí</x:v>
      </x:c>
      <x:c r="F117" s="10" t="str">
        <x:v>Por asignar</x:v>
      </x:c>
      <x:c r="G117" s="10" t="n">
        <x:v>13</x:v>
      </x:c>
      <x:c r="H117" s="13" t="n">
        <x:f>IF(E117="No","",IF(OR('Configuración'!$B$10&gt;'Configuración'!$B$9,EOMONTH('Configuración'!$B$10,0)&lt;'Configuración'!$B$8),"",MAX('Configuración'!$B$8,MIN('Configuración'!$B$9,WORKDAY('Configuración'!$B$10-1,G117)))))</x:f>
        <x:v>46344</x:v>
      </x:c>
      <x:c r="I117" s="10" t="str">
        <x:v>Pendiente</x:v>
      </x:c>
      <x:c r="J117" s="10" t="str"/>
      <x:c r="K117" s="10" t="str">
        <x:v>Pendiente</x:v>
      </x:c>
      <x:c r="L117" s="10" t="str">
        <x:v>Pendiente</x:v>
      </x:c>
      <x:c r="M117" s="11"/>
      <x:c r="N117" s="2" t="str">
        <x:f>IF(E117="No","Fuera de alcance",IF(H117="","Fuera del contrato",IF(AND(I117="No aplica",J117&lt;&gt;"",K117="Validada"),"No aplica justificado",IF(AND(I117="Realizado",J117&lt;&gt;"",K117="Validada",L117="Aceptado",ISNUMBER(M117)),"Completo",IF(AND(I117="Controlado sin novedad",J117&lt;&gt;"",K117="Validada",ISNUMBER(M117)),"Controlado",IF('Configuración'!$B$11&gt;H117,"Vencido","Pendiente"))))))</x:f>
        <x:v>Pendiente</x:v>
      </x:c>
      <x:c r="O117" s="15"/>
      <x:c r="P117" s="15"/>
    </x:row>
    <x:row r="118" ht="48" customHeight="1">
      <x:c r="A118" s="2" t="n">
        <x:v>111</x:v>
      </x:c>
      <x:c r="B118" s="16" t="str">
        <x:v>Comparación de ofertas</x:v>
      </x:c>
      <x:c r="C118" s="2" t="str">
        <x:v>Compras y proveedores</x:v>
      </x:c>
      <x:c r="D118" s="2" t="str">
        <x:v>Semanal</x:v>
      </x:c>
      <x:c r="E118" s="10" t="str">
        <x:v>Sí</x:v>
      </x:c>
      <x:c r="F118" s="10" t="str">
        <x:v>Por asignar</x:v>
      </x:c>
      <x:c r="G118" s="10" t="n">
        <x:v>13</x:v>
      </x:c>
      <x:c r="H118" s="13" t="n">
        <x:f>IF(E118="No","",IF(OR('Configuración'!$B$10&gt;'Configuración'!$B$9,EOMONTH('Configuración'!$B$10,0)&lt;'Configuración'!$B$8),"",MAX('Configuración'!$B$8,MIN('Configuración'!$B$9,WORKDAY('Configuración'!$B$10-1,G118)))))</x:f>
        <x:v>46344</x:v>
      </x:c>
      <x:c r="I118" s="10" t="str">
        <x:v>Pendiente</x:v>
      </x:c>
      <x:c r="J118" s="10" t="str"/>
      <x:c r="K118" s="10" t="str">
        <x:v>Pendiente</x:v>
      </x:c>
      <x:c r="L118" s="10" t="str">
        <x:v>Pendiente</x:v>
      </x:c>
      <x:c r="M118" s="11"/>
      <x:c r="N118" s="2" t="str">
        <x:f>IF(E118="No","Fuera de alcance",IF(H118="","Fuera del contrato",IF(AND(I118="No aplica",J118&lt;&gt;"",K118="Validada"),"No aplica justificado",IF(AND(I118="Realizado",J118&lt;&gt;"",K118="Validada",L118="Aceptado",ISNUMBER(M118)),"Completo",IF(AND(I118="Controlado sin novedad",J118&lt;&gt;"",K118="Validada",ISNUMBER(M118)),"Controlado",IF('Configuración'!$B$11&gt;H118,"Vencido","Pendiente"))))))</x:f>
        <x:v>Pendiente</x:v>
      </x:c>
      <x:c r="O118" s="15"/>
      <x:c r="P118" s="15"/>
    </x:row>
    <x:row r="119" ht="48" customHeight="1">
      <x:c r="A119" s="2" t="n">
        <x:v>112</x:v>
      </x:c>
      <x:c r="B119" s="16" t="str">
        <x:v>Control de expedientes de proveedores</x:v>
      </x:c>
      <x:c r="C119" s="2" t="str">
        <x:v>Compras y proveedores</x:v>
      </x:c>
      <x:c r="D119" s="2" t="str">
        <x:v>Semanal</x:v>
      </x:c>
      <x:c r="E119" s="10" t="str">
        <x:v>Sí</x:v>
      </x:c>
      <x:c r="F119" s="10" t="str">
        <x:v>Por asignar</x:v>
      </x:c>
      <x:c r="G119" s="10" t="n">
        <x:v>13</x:v>
      </x:c>
      <x:c r="H119" s="13" t="n">
        <x:f>IF(E119="No","",IF(OR('Configuración'!$B$10&gt;'Configuración'!$B$9,EOMONTH('Configuración'!$B$10,0)&lt;'Configuración'!$B$8),"",MAX('Configuración'!$B$8,MIN('Configuración'!$B$9,WORKDAY('Configuración'!$B$10-1,G119)))))</x:f>
        <x:v>46344</x:v>
      </x:c>
      <x:c r="I119" s="10" t="str">
        <x:v>Pendiente</x:v>
      </x:c>
      <x:c r="J119" s="10" t="str"/>
      <x:c r="K119" s="10" t="str">
        <x:v>Pendiente</x:v>
      </x:c>
      <x:c r="L119" s="10" t="str">
        <x:v>Pendiente</x:v>
      </x:c>
      <x:c r="M119" s="11"/>
      <x:c r="N119" s="2" t="str">
        <x:f>IF(E119="No","Fuera de alcance",IF(H119="","Fuera del contrato",IF(AND(I119="No aplica",J119&lt;&gt;"",K119="Validada"),"No aplica justificado",IF(AND(I119="Realizado",J119&lt;&gt;"",K119="Validada",L119="Aceptado",ISNUMBER(M119)),"Completo",IF(AND(I119="Controlado sin novedad",J119&lt;&gt;"",K119="Validada",ISNUMBER(M119)),"Controlado",IF('Configuración'!$B$11&gt;H119,"Vencido","Pendiente"))))))</x:f>
        <x:v>Pendiente</x:v>
      </x:c>
      <x:c r="O119" s="15"/>
      <x:c r="P119" s="15"/>
    </x:row>
    <x:row r="120" ht="48" customHeight="1">
      <x:c r="A120" s="2" t="n">
        <x:v>113</x:v>
      </x:c>
      <x:c r="B120" s="16" t="str">
        <x:v>Análisis de inventarios</x:v>
      </x:c>
      <x:c r="C120" s="2" t="str">
        <x:v>Inventarios y activos</x:v>
      </x:c>
      <x:c r="D120" s="2" t="str">
        <x:v>Diaria</x:v>
      </x:c>
      <x:c r="E120" s="10" t="str">
        <x:v>Sí</x:v>
      </x:c>
      <x:c r="F120" s="10" t="str">
        <x:v>Por asignar</x:v>
      </x:c>
      <x:c r="G120" s="10" t="n">
        <x:v>14</x:v>
      </x:c>
      <x:c r="H120" s="13" t="n">
        <x:f>IF(E120="No","",IF(OR('Configuración'!$B$10&gt;'Configuración'!$B$9,EOMONTH('Configuración'!$B$10,0)&lt;'Configuración'!$B$8),"",MAX('Configuración'!$B$8,MIN('Configuración'!$B$9,WORKDAY('Configuración'!$B$10-1,G120)))))</x:f>
        <x:v>46345</x:v>
      </x:c>
      <x:c r="I120" s="10" t="str">
        <x:v>Pendiente</x:v>
      </x:c>
      <x:c r="J120" s="10" t="str"/>
      <x:c r="K120" s="10" t="str">
        <x:v>Pendiente</x:v>
      </x:c>
      <x:c r="L120" s="10" t="str">
        <x:v>Pendiente</x:v>
      </x:c>
      <x:c r="M120" s="11"/>
      <x:c r="N120" s="2" t="str">
        <x:f>IF(E120="No","Fuera de alcance",IF(H120="","Fuera del contrato",IF(AND(I120="No aplica",J120&lt;&gt;"",K120="Validada"),"No aplica justificado",IF(AND(I120="Realizado",J120&lt;&gt;"",K120="Validada",L120="Aceptado",ISNUMBER(M120)),"Completo",IF(AND(I120="Controlado sin novedad",J120&lt;&gt;"",K120="Validada",ISNUMBER(M120)),"Controlado",IF('Configuración'!$B$11&gt;H120,"Vencido","Pendiente"))))))</x:f>
        <x:v>Pendiente</x:v>
      </x:c>
      <x:c r="O120" s="15"/>
      <x:c r="P120" s="15"/>
    </x:row>
    <x:row r="121" ht="48" customHeight="1">
      <x:c r="A121" s="2" t="n">
        <x:v>114</x:v>
      </x:c>
      <x:c r="B121" s="16" t="str">
        <x:v>Control de activos</x:v>
      </x:c>
      <x:c r="C121" s="2" t="str">
        <x:v>Inventarios y activos</x:v>
      </x:c>
      <x:c r="D121" s="2" t="str">
        <x:v>Semanal</x:v>
      </x:c>
      <x:c r="E121" s="10" t="str">
        <x:v>Sí</x:v>
      </x:c>
      <x:c r="F121" s="10" t="str">
        <x:v>Por asignar</x:v>
      </x:c>
      <x:c r="G121" s="10" t="n">
        <x:v>14</x:v>
      </x:c>
      <x:c r="H121" s="13" t="n">
        <x:f>IF(E121="No","",IF(OR('Configuración'!$B$10&gt;'Configuración'!$B$9,EOMONTH('Configuración'!$B$10,0)&lt;'Configuración'!$B$8),"",MAX('Configuración'!$B$8,MIN('Configuración'!$B$9,WORKDAY('Configuración'!$B$10-1,G121)))))</x:f>
        <x:v>46345</x:v>
      </x:c>
      <x:c r="I121" s="10" t="str">
        <x:v>Pendiente</x:v>
      </x:c>
      <x:c r="J121" s="10" t="str"/>
      <x:c r="K121" s="10" t="str">
        <x:v>Pendiente</x:v>
      </x:c>
      <x:c r="L121" s="10" t="str">
        <x:v>Pendiente</x:v>
      </x:c>
      <x:c r="M121" s="11"/>
      <x:c r="N121" s="2" t="str">
        <x:f>IF(E121="No","Fuera de alcance",IF(H121="","Fuera del contrato",IF(AND(I121="No aplica",J121&lt;&gt;"",K121="Validada"),"No aplica justificado",IF(AND(I121="Realizado",J121&lt;&gt;"",K121="Validada",L121="Aceptado",ISNUMBER(M121)),"Completo",IF(AND(I121="Controlado sin novedad",J121&lt;&gt;"",K121="Validada",ISNUMBER(M121)),"Controlado",IF('Configuración'!$B$11&gt;H121,"Vencido","Pendiente"))))))</x:f>
        <x:v>Pendiente</x:v>
      </x:c>
      <x:c r="O121" s="15"/>
      <x:c r="P121" s="15"/>
    </x:row>
    <x:row r="122" ht="48" customHeight="1">
      <x:c r="A122" s="2" t="n">
        <x:v>115</x:v>
      </x:c>
      <x:c r="B122" s="16" t="str">
        <x:v>Planificación de mantenimiento</x:v>
      </x:c>
      <x:c r="C122" s="2" t="str">
        <x:v>Inventarios y activos</x:v>
      </x:c>
      <x:c r="D122" s="2" t="str">
        <x:v>Diaria</x:v>
      </x:c>
      <x:c r="E122" s="10" t="str">
        <x:v>Sí</x:v>
      </x:c>
      <x:c r="F122" s="10" t="str">
        <x:v>Por asignar</x:v>
      </x:c>
      <x:c r="G122" s="10" t="n">
        <x:v>14</x:v>
      </x:c>
      <x:c r="H122" s="13" t="n">
        <x:f>IF(E122="No","",IF(OR('Configuración'!$B$10&gt;'Configuración'!$B$9,EOMONTH('Configuración'!$B$10,0)&lt;'Configuración'!$B$8),"",MAX('Configuración'!$B$8,MIN('Configuración'!$B$9,WORKDAY('Configuración'!$B$10-1,G122)))))</x:f>
        <x:v>46345</x:v>
      </x:c>
      <x:c r="I122" s="10" t="str">
        <x:v>Pendiente</x:v>
      </x:c>
      <x:c r="J122" s="10" t="str"/>
      <x:c r="K122" s="10" t="str">
        <x:v>Pendiente</x:v>
      </x:c>
      <x:c r="L122" s="10" t="str">
        <x:v>Pendiente</x:v>
      </x:c>
      <x:c r="M122" s="11"/>
      <x:c r="N122" s="2" t="str">
        <x:f>IF(E122="No","Fuera de alcance",IF(H122="","Fuera del contrato",IF(AND(I122="No aplica",J122&lt;&gt;"",K122="Validada"),"No aplica justificado",IF(AND(I122="Realizado",J122&lt;&gt;"",K122="Validada",L122="Aceptado",ISNUMBER(M122)),"Completo",IF(AND(I122="Controlado sin novedad",J122&lt;&gt;"",K122="Validada",ISNUMBER(M122)),"Controlado",IF('Configuración'!$B$11&gt;H122,"Vencido","Pendiente"))))))</x:f>
        <x:v>Pendiente</x:v>
      </x:c>
      <x:c r="O122" s="15"/>
      <x:c r="P122" s="15"/>
    </x:row>
    <x:row r="123" ht="48" customHeight="1">
      <x:c r="A123" s="2" t="n">
        <x:v>116</x:v>
      </x:c>
      <x:c r="B123" s="16" t="str">
        <x:v>Análisis de procesos operativos</x:v>
      </x:c>
      <x:c r="C123" s="2" t="str">
        <x:v>Procesos</x:v>
      </x:c>
      <x:c r="D123" s="2" t="str">
        <x:v>Semanal</x:v>
      </x:c>
      <x:c r="E123" s="10" t="str">
        <x:v>Sí</x:v>
      </x:c>
      <x:c r="F123" s="10" t="str">
        <x:v>Por asignar</x:v>
      </x:c>
      <x:c r="G123" s="10" t="n">
        <x:v>15</x:v>
      </x:c>
      <x:c r="H123" s="13" t="n">
        <x:f>IF(E123="No","",IF(OR('Configuración'!$B$10&gt;'Configuración'!$B$9,EOMONTH('Configuración'!$B$10,0)&lt;'Configuración'!$B$8),"",MAX('Configuración'!$B$8,MIN('Configuración'!$B$9,WORKDAY('Configuración'!$B$10-1,G123)))))</x:f>
        <x:v>46346</x:v>
      </x:c>
      <x:c r="I123" s="10" t="str">
        <x:v>Pendiente</x:v>
      </x:c>
      <x:c r="J123" s="10" t="str"/>
      <x:c r="K123" s="10" t="str">
        <x:v>Pendiente</x:v>
      </x:c>
      <x:c r="L123" s="10" t="str">
        <x:v>Pendiente</x:v>
      </x:c>
      <x:c r="M123" s="11"/>
      <x:c r="N123" s="2" t="str">
        <x:f>IF(E123="No","Fuera de alcance",IF(H123="","Fuera del contrato",IF(AND(I123="No aplica",J123&lt;&gt;"",K123="Validada"),"No aplica justificado",IF(AND(I123="Realizado",J123&lt;&gt;"",K123="Validada",L123="Aceptado",ISNUMBER(M123)),"Completo",IF(AND(I123="Controlado sin novedad",J123&lt;&gt;"",K123="Validada",ISNUMBER(M123)),"Controlado",IF('Configuración'!$B$11&gt;H123,"Vencido","Pendiente"))))))</x:f>
        <x:v>Pendiente</x:v>
      </x:c>
      <x:c r="O123" s="15"/>
      <x:c r="P123" s="15"/>
    </x:row>
    <x:row r="124" ht="48" customHeight="1">
      <x:c r="A124" s="2" t="n">
        <x:v>117</x:v>
      </x:c>
      <x:c r="B124" s="16" t="str">
        <x:v>Gestión de prospectos</x:v>
      </x:c>
      <x:c r="C124" s="2" t="str">
        <x:v>Comercial y clientes</x:v>
      </x:c>
      <x:c r="D124" s="2" t="str">
        <x:v>Diaria</x:v>
      </x:c>
      <x:c r="E124" s="10" t="str">
        <x:v>Sí</x:v>
      </x:c>
      <x:c r="F124" s="10" t="str">
        <x:v>Por asignar</x:v>
      </x:c>
      <x:c r="G124" s="10" t="n">
        <x:v>15</x:v>
      </x:c>
      <x:c r="H124" s="13" t="n">
        <x:f>IF(E124="No","",IF(OR('Configuración'!$B$10&gt;'Configuración'!$B$9,EOMONTH('Configuración'!$B$10,0)&lt;'Configuración'!$B$8),"",MAX('Configuración'!$B$8,MIN('Configuración'!$B$9,WORKDAY('Configuración'!$B$10-1,G124)))))</x:f>
        <x:v>46346</x:v>
      </x:c>
      <x:c r="I124" s="10" t="str">
        <x:v>Pendiente</x:v>
      </x:c>
      <x:c r="J124" s="10" t="str"/>
      <x:c r="K124" s="10" t="str">
        <x:v>Pendiente</x:v>
      </x:c>
      <x:c r="L124" s="10" t="str">
        <x:v>Pendiente</x:v>
      </x:c>
      <x:c r="M124" s="11"/>
      <x:c r="N124" s="2" t="str">
        <x:f>IF(E124="No","Fuera de alcance",IF(H124="","Fuera del contrato",IF(AND(I124="No aplica",J124&lt;&gt;"",K124="Validada"),"No aplica justificado",IF(AND(I124="Realizado",J124&lt;&gt;"",K124="Validada",L124="Aceptado",ISNUMBER(M124)),"Completo",IF(AND(I124="Controlado sin novedad",J124&lt;&gt;"",K124="Validada",ISNUMBER(M124)),"Controlado",IF('Configuración'!$B$11&gt;H124,"Vencido","Pendiente"))))))</x:f>
        <x:v>Pendiente</x:v>
      </x:c>
      <x:c r="O124" s="15"/>
      <x:c r="P124" s="15"/>
    </x:row>
    <x:row r="125" ht="48" customHeight="1">
      <x:c r="A125" s="2" t="n">
        <x:v>118</x:v>
      </x:c>
      <x:c r="B125" s="16" t="str">
        <x:v>Preparación de propuestas comerciales</x:v>
      </x:c>
      <x:c r="C125" s="2" t="str">
        <x:v>Comercial y clientes</x:v>
      </x:c>
      <x:c r="D125" s="2" t="str">
        <x:v>Bajo demanda</x:v>
      </x:c>
      <x:c r="E125" s="10" t="str">
        <x:v>Sí</x:v>
      </x:c>
      <x:c r="F125" s="10" t="str">
        <x:v>Por asignar</x:v>
      </x:c>
      <x:c r="G125" s="10" t="n">
        <x:v>15</x:v>
      </x:c>
      <x:c r="H125" s="13" t="n">
        <x:f>IF(E125="No","",IF(OR('Configuración'!$B$10&gt;'Configuración'!$B$9,EOMONTH('Configuración'!$B$10,0)&lt;'Configuración'!$B$8),"",MAX('Configuración'!$B$8,MIN('Configuración'!$B$9,WORKDAY('Configuración'!$B$10-1,G125)))))</x:f>
        <x:v>46346</x:v>
      </x:c>
      <x:c r="I125" s="10" t="str">
        <x:v>Pendiente</x:v>
      </x:c>
      <x:c r="J125" s="10" t="str"/>
      <x:c r="K125" s="10" t="str">
        <x:v>Pendiente</x:v>
      </x:c>
      <x:c r="L125" s="10" t="str">
        <x:v>Pendiente</x:v>
      </x:c>
      <x:c r="M125" s="11"/>
      <x:c r="N125" s="2" t="str">
        <x:f>IF(E125="No","Fuera de alcance",IF(H125="","Fuera del contrato",IF(AND(I125="No aplica",J125&lt;&gt;"",K125="Validada"),"No aplica justificado",IF(AND(I125="Realizado",J125&lt;&gt;"",K125="Validada",L125="Aceptado",ISNUMBER(M125)),"Completo",IF(AND(I125="Controlado sin novedad",J125&lt;&gt;"",K125="Validada",ISNUMBER(M125)),"Controlado",IF('Configuración'!$B$11&gt;H125,"Vencido","Pendiente"))))))</x:f>
        <x:v>Pendiente</x:v>
      </x:c>
      <x:c r="O125" s="15"/>
      <x:c r="P125" s="15"/>
    </x:row>
    <x:row r="126" ht="48" customHeight="1">
      <x:c r="A126" s="2" t="n">
        <x:v>119</x:v>
      </x:c>
      <x:c r="B126" s="16" t="str">
        <x:v>Cotización basada en carga de trabajo</x:v>
      </x:c>
      <x:c r="C126" s="2" t="str">
        <x:v>Comercial y clientes</x:v>
      </x:c>
      <x:c r="D126" s="2" t="str">
        <x:v>Semanal</x:v>
      </x:c>
      <x:c r="E126" s="10" t="str">
        <x:v>Sí</x:v>
      </x:c>
      <x:c r="F126" s="10" t="str">
        <x:v>Por asignar</x:v>
      </x:c>
      <x:c r="G126" s="10" t="n">
        <x:v>15</x:v>
      </x:c>
      <x:c r="H126" s="13" t="n">
        <x:f>IF(E126="No","",IF(OR('Configuración'!$B$10&gt;'Configuración'!$B$9,EOMONTH('Configuración'!$B$10,0)&lt;'Configuración'!$B$8),"",MAX('Configuración'!$B$8,MIN('Configuración'!$B$9,WORKDAY('Configuración'!$B$10-1,G126)))))</x:f>
        <x:v>46346</x:v>
      </x:c>
      <x:c r="I126" s="10" t="str">
        <x:v>Pendiente</x:v>
      </x:c>
      <x:c r="J126" s="10" t="str"/>
      <x:c r="K126" s="10" t="str">
        <x:v>Pendiente</x:v>
      </x:c>
      <x:c r="L126" s="10" t="str">
        <x:v>Pendiente</x:v>
      </x:c>
      <x:c r="M126" s="11"/>
      <x:c r="N126" s="2" t="str">
        <x:f>IF(E126="No","Fuera de alcance",IF(H126="","Fuera del contrato",IF(AND(I126="No aplica",J126&lt;&gt;"",K126="Validada"),"No aplica justificado",IF(AND(I126="Realizado",J126&lt;&gt;"",K126="Validada",L126="Aceptado",ISNUMBER(M126)),"Completo",IF(AND(I126="Controlado sin novedad",J126&lt;&gt;"",K126="Validada",ISNUMBER(M126)),"Controlado",IF('Configuración'!$B$11&gt;H126,"Vencido","Pendiente"))))))</x:f>
        <x:v>Pendiente</x:v>
      </x:c>
      <x:c r="O126" s="15"/>
      <x:c r="P126" s="15"/>
    </x:row>
    <x:row r="127" ht="48" customHeight="1">
      <x:c r="A127" s="2" t="n">
        <x:v>120</x:v>
      </x:c>
      <x:c r="B127" s="16" t="str">
        <x:v>Seguimiento de clientes</x:v>
      </x:c>
      <x:c r="C127" s="2" t="str">
        <x:v>Comercial y clientes</x:v>
      </x:c>
      <x:c r="D127" s="2" t="str">
        <x:v>Diaria</x:v>
      </x:c>
      <x:c r="E127" s="10" t="str">
        <x:v>Sí</x:v>
      </x:c>
      <x:c r="F127" s="10" t="str">
        <x:v>Por asignar</x:v>
      </x:c>
      <x:c r="G127" s="10" t="n">
        <x:v>15</x:v>
      </x:c>
      <x:c r="H127" s="13" t="n">
        <x:f>IF(E127="No","",IF(OR('Configuración'!$B$10&gt;'Configuración'!$B$9,EOMONTH('Configuración'!$B$10,0)&lt;'Configuración'!$B$8),"",MAX('Configuración'!$B$8,MIN('Configuración'!$B$9,WORKDAY('Configuración'!$B$10-1,G127)))))</x:f>
        <x:v>46346</x:v>
      </x:c>
      <x:c r="I127" s="10" t="str">
        <x:v>Pendiente</x:v>
      </x:c>
      <x:c r="J127" s="10" t="str"/>
      <x:c r="K127" s="10" t="str">
        <x:v>Pendiente</x:v>
      </x:c>
      <x:c r="L127" s="10" t="str">
        <x:v>Pendiente</x:v>
      </x:c>
      <x:c r="M127" s="11"/>
      <x:c r="N127" s="2" t="str">
        <x:f>IF(E127="No","Fuera de alcance",IF(H127="","Fuera del contrato",IF(AND(I127="No aplica",J127&lt;&gt;"",K127="Validada"),"No aplica justificado",IF(AND(I127="Realizado",J127&lt;&gt;"",K127="Validada",L127="Aceptado",ISNUMBER(M127)),"Completo",IF(AND(I127="Controlado sin novedad",J127&lt;&gt;"",K127="Validada",ISNUMBER(M127)),"Controlado",IF('Configuración'!$B$11&gt;H127,"Vencido","Pendiente"))))))</x:f>
        <x:v>Pendiente</x:v>
      </x:c>
      <x:c r="O127" s="15"/>
      <x:c r="P127" s="15"/>
    </x:row>
    <x:row r="128" ht="48" customHeight="1">
      <x:c r="A128" s="2" t="n">
        <x:v>121</x:v>
      </x:c>
      <x:c r="B128" s="16" t="str">
        <x:v>Análisis de reclamaciones</x:v>
      </x:c>
      <x:c r="C128" s="2" t="str">
        <x:v>Comercial y clientes</x:v>
      </x:c>
      <x:c r="D128" s="2" t="str">
        <x:v>Semanal</x:v>
      </x:c>
      <x:c r="E128" s="10" t="str">
        <x:v>Sí</x:v>
      </x:c>
      <x:c r="F128" s="10" t="str">
        <x:v>Por asignar</x:v>
      </x:c>
      <x:c r="G128" s="10" t="n">
        <x:v>15</x:v>
      </x:c>
      <x:c r="H128" s="13" t="n">
        <x:f>IF(E128="No","",IF(OR('Configuración'!$B$10&gt;'Configuración'!$B$9,EOMONTH('Configuración'!$B$10,0)&lt;'Configuración'!$B$8),"",MAX('Configuración'!$B$8,MIN('Configuración'!$B$9,WORKDAY('Configuración'!$B$10-1,G128)))))</x:f>
        <x:v>46346</x:v>
      </x:c>
      <x:c r="I128" s="10" t="str">
        <x:v>Pendiente</x:v>
      </x:c>
      <x:c r="J128" s="10" t="str"/>
      <x:c r="K128" s="10" t="str">
        <x:v>Pendiente</x:v>
      </x:c>
      <x:c r="L128" s="10" t="str">
        <x:v>Pendiente</x:v>
      </x:c>
      <x:c r="M128" s="11"/>
      <x:c r="N128" s="2" t="str">
        <x:f>IF(E128="No","Fuera de alcance",IF(H128="","Fuera del contrato",IF(AND(I128="No aplica",J128&lt;&gt;"",K128="Validada"),"No aplica justificado",IF(AND(I128="Realizado",J128&lt;&gt;"",K128="Validada",L128="Aceptado",ISNUMBER(M128)),"Completo",IF(AND(I128="Controlado sin novedad",J128&lt;&gt;"",K128="Validada",ISNUMBER(M128)),"Controlado",IF('Configuración'!$B$11&gt;H128,"Vencido","Pendiente"))))))</x:f>
        <x:v>Pendiente</x:v>
      </x:c>
      <x:c r="O128" s="15"/>
      <x:c r="P128" s="15"/>
    </x:row>
    <x:row r="129" ht="48" customHeight="1">
      <x:c r="A129" s="2" t="n">
        <x:v>122</x:v>
      </x:c>
      <x:c r="B129" s="16" t="str">
        <x:v>Encuestas y voz del cliente</x:v>
      </x:c>
      <x:c r="C129" s="2" t="str">
        <x:v>Comercial y clientes</x:v>
      </x:c>
      <x:c r="D129" s="2" t="str">
        <x:v>Semanal</x:v>
      </x:c>
      <x:c r="E129" s="10" t="str">
        <x:v>Sí</x:v>
      </x:c>
      <x:c r="F129" s="10" t="str">
        <x:v>Por asignar</x:v>
      </x:c>
      <x:c r="G129" s="10" t="n">
        <x:v>15</x:v>
      </x:c>
      <x:c r="H129" s="13" t="n">
        <x:f>IF(E129="No","",IF(OR('Configuración'!$B$10&gt;'Configuración'!$B$9,EOMONTH('Configuración'!$B$10,0)&lt;'Configuración'!$B$8),"",MAX('Configuración'!$B$8,MIN('Configuración'!$B$9,WORKDAY('Configuración'!$B$10-1,G129)))))</x:f>
        <x:v>46346</x:v>
      </x:c>
      <x:c r="I129" s="10" t="str">
        <x:v>Pendiente</x:v>
      </x:c>
      <x:c r="J129" s="10" t="str"/>
      <x:c r="K129" s="10" t="str">
        <x:v>Pendiente</x:v>
      </x:c>
      <x:c r="L129" s="10" t="str">
        <x:v>Pendiente</x:v>
      </x:c>
      <x:c r="M129" s="11"/>
      <x:c r="N129" s="2" t="str">
        <x:f>IF(E129="No","Fuera de alcance",IF(H129="","Fuera del contrato",IF(AND(I129="No aplica",J129&lt;&gt;"",K129="Validada"),"No aplica justificado",IF(AND(I129="Realizado",J129&lt;&gt;"",K129="Validada",L129="Aceptado",ISNUMBER(M129)),"Completo",IF(AND(I129="Controlado sin novedad",J129&lt;&gt;"",K129="Validada",ISNUMBER(M129)),"Controlado",IF('Configuración'!$B$11&gt;H129,"Vencido","Pendiente"))))))</x:f>
        <x:v>Pendiente</x:v>
      </x:c>
      <x:c r="O129" s="15"/>
      <x:c r="P129" s="15"/>
    </x:row>
    <x:row r="130" ht="48" customHeight="1">
      <x:c r="A130" s="2" t="n">
        <x:v>123</x:v>
      </x:c>
      <x:c r="B130" s="16" t="str">
        <x:v>Presentaciones profesionales</x:v>
      </x:c>
      <x:c r="C130" s="2" t="str">
        <x:v>Comunicación</x:v>
      </x:c>
      <x:c r="D130" s="2" t="str">
        <x:v>Bajo demanda</x:v>
      </x:c>
      <x:c r="E130" s="10" t="str">
        <x:v>Sí</x:v>
      </x:c>
      <x:c r="F130" s="10" t="str">
        <x:v>Por asignar</x:v>
      </x:c>
      <x:c r="G130" s="10" t="n">
        <x:v>16</x:v>
      </x:c>
      <x:c r="H130" s="13" t="n">
        <x:f>IF(E130="No","",IF(OR('Configuración'!$B$10&gt;'Configuración'!$B$9,EOMONTH('Configuración'!$B$10,0)&lt;'Configuración'!$B$8),"",MAX('Configuración'!$B$8,MIN('Configuración'!$B$9,WORKDAY('Configuración'!$B$10-1,G130)))))</x:f>
        <x:v>46349</x:v>
      </x:c>
      <x:c r="I130" s="10" t="str">
        <x:v>Pendiente</x:v>
      </x:c>
      <x:c r="J130" s="10" t="str"/>
      <x:c r="K130" s="10" t="str">
        <x:v>Pendiente</x:v>
      </x:c>
      <x:c r="L130" s="10" t="str">
        <x:v>Pendiente</x:v>
      </x:c>
      <x:c r="M130" s="11"/>
      <x:c r="N130" s="2" t="str">
        <x:f>IF(E130="No","Fuera de alcance",IF(H130="","Fuera del contrato",IF(AND(I130="No aplica",J130&lt;&gt;"",K130="Validada"),"No aplica justificado",IF(AND(I130="Realizado",J130&lt;&gt;"",K130="Validada",L130="Aceptado",ISNUMBER(M130)),"Completo",IF(AND(I130="Controlado sin novedad",J130&lt;&gt;"",K130="Validada",ISNUMBER(M130)),"Controlado",IF('Configuración'!$B$11&gt;H130,"Vencido","Pendiente"))))))</x:f>
        <x:v>Pendiente</x:v>
      </x:c>
      <x:c r="O130" s="15"/>
      <x:c r="P130" s="15"/>
    </x:row>
    <x:row r="131" ht="48" customHeight="1">
      <x:c r="A131" s="2" t="n">
        <x:v>124</x:v>
      </x:c>
      <x:c r="B131" s="16" t="str">
        <x:v>Resúmenes en video</x:v>
      </x:c>
      <x:c r="C131" s="2" t="str">
        <x:v>Comunicación</x:v>
      </x:c>
      <x:c r="D131" s="2" t="str">
        <x:v>Bajo demanda</x:v>
      </x:c>
      <x:c r="E131" s="10" t="str">
        <x:v>Sí</x:v>
      </x:c>
      <x:c r="F131" s="10" t="str">
        <x:v>Por asignar</x:v>
      </x:c>
      <x:c r="G131" s="10" t="n">
        <x:v>16</x:v>
      </x:c>
      <x:c r="H131" s="13" t="n">
        <x:f>IF(E131="No","",IF(OR('Configuración'!$B$10&gt;'Configuración'!$B$9,EOMONTH('Configuración'!$B$10,0)&lt;'Configuración'!$B$8),"",MAX('Configuración'!$B$8,MIN('Configuración'!$B$9,WORKDAY('Configuración'!$B$10-1,G131)))))</x:f>
        <x:v>46349</x:v>
      </x:c>
      <x:c r="I131" s="10" t="str">
        <x:v>Pendiente</x:v>
      </x:c>
      <x:c r="J131" s="10" t="str"/>
      <x:c r="K131" s="10" t="str">
        <x:v>Pendiente</x:v>
      </x:c>
      <x:c r="L131" s="10" t="str">
        <x:v>Pendiente</x:v>
      </x:c>
      <x:c r="M131" s="11"/>
      <x:c r="N131" s="2" t="str">
        <x:f>IF(E131="No","Fuera de alcance",IF(H131="","Fuera del contrato",IF(AND(I131="No aplica",J131&lt;&gt;"",K131="Validada"),"No aplica justificado",IF(AND(I131="Realizado",J131&lt;&gt;"",K131="Validada",L131="Aceptado",ISNUMBER(M131)),"Completo",IF(AND(I131="Controlado sin novedad",J131&lt;&gt;"",K131="Validada",ISNUMBER(M131)),"Controlado",IF('Configuración'!$B$11&gt;H131,"Vencido","Pendiente"))))))</x:f>
        <x:v>Pendiente</x:v>
      </x:c>
      <x:c r="O131" s="15"/>
      <x:c r="P131" s="15"/>
    </x:row>
    <x:row r="132" ht="48" customHeight="1">
      <x:c r="A132" s="2" t="n">
        <x:v>125</x:v>
      </x:c>
      <x:c r="B132" s="16" t="str">
        <x:v>Pódcast o audio resumen</x:v>
      </x:c>
      <x:c r="C132" s="2" t="str">
        <x:v>Comunicación</x:v>
      </x:c>
      <x:c r="D132" s="2" t="str">
        <x:v>Mensual</x:v>
      </x:c>
      <x:c r="E132" s="10" t="str">
        <x:v>Sí</x:v>
      </x:c>
      <x:c r="F132" s="10" t="str">
        <x:v>Por asignar</x:v>
      </x:c>
      <x:c r="G132" s="10" t="n">
        <x:v>16</x:v>
      </x:c>
      <x:c r="H132" s="13" t="n">
        <x:f>IF(E132="No","",IF(OR('Configuración'!$B$10&gt;'Configuración'!$B$9,EOMONTH('Configuración'!$B$10,0)&lt;'Configuración'!$B$8),"",MAX('Configuración'!$B$8,MIN('Configuración'!$B$9,WORKDAY('Configuración'!$B$10-1,G132)))))</x:f>
        <x:v>46349</x:v>
      </x:c>
      <x:c r="I132" s="10" t="str">
        <x:v>Pendiente</x:v>
      </x:c>
      <x:c r="J132" s="10" t="str"/>
      <x:c r="K132" s="10" t="str">
        <x:v>Pendiente</x:v>
      </x:c>
      <x:c r="L132" s="10" t="str">
        <x:v>Pendiente</x:v>
      </x:c>
      <x:c r="M132" s="11"/>
      <x:c r="N132" s="2" t="str">
        <x:f>IF(E132="No","Fuera de alcance",IF(H132="","Fuera del contrato",IF(AND(I132="No aplica",J132&lt;&gt;"",K132="Validada"),"No aplica justificado",IF(AND(I132="Realizado",J132&lt;&gt;"",K132="Validada",L132="Aceptado",ISNUMBER(M132)),"Completo",IF(AND(I132="Controlado sin novedad",J132&lt;&gt;"",K132="Validada",ISNUMBER(M132)),"Controlado",IF('Configuración'!$B$11&gt;H132,"Vencido","Pendiente"))))))</x:f>
        <x:v>Pendiente</x:v>
      </x:c>
      <x:c r="O132" s="15"/>
      <x:c r="P132" s="15"/>
    </x:row>
    <x:row r="133" ht="48" customHeight="1">
      <x:c r="A133" s="2" t="n">
        <x:v>126</x:v>
      </x:c>
      <x:c r="B133" s="16" t="str">
        <x:v>Boletines internos</x:v>
      </x:c>
      <x:c r="C133" s="2" t="str">
        <x:v>Comunicación</x:v>
      </x:c>
      <x:c r="D133" s="2" t="str">
        <x:v>Mensual</x:v>
      </x:c>
      <x:c r="E133" s="10" t="str">
        <x:v>Sí</x:v>
      </x:c>
      <x:c r="F133" s="10" t="str">
        <x:v>Por asignar</x:v>
      </x:c>
      <x:c r="G133" s="10" t="n">
        <x:v>16</x:v>
      </x:c>
      <x:c r="H133" s="13" t="n">
        <x:f>IF(E133="No","",IF(OR('Configuración'!$B$10&gt;'Configuración'!$B$9,EOMONTH('Configuración'!$B$10,0)&lt;'Configuración'!$B$8),"",MAX('Configuración'!$B$8,MIN('Configuración'!$B$9,WORKDAY('Configuración'!$B$10-1,G133)))))</x:f>
        <x:v>46349</x:v>
      </x:c>
      <x:c r="I133" s="10" t="str">
        <x:v>Pendiente</x:v>
      </x:c>
      <x:c r="J133" s="10" t="str"/>
      <x:c r="K133" s="10" t="str">
        <x:v>Pendiente</x:v>
      </x:c>
      <x:c r="L133" s="10" t="str">
        <x:v>Pendiente</x:v>
      </x:c>
      <x:c r="M133" s="11"/>
      <x:c r="N133" s="2" t="str">
        <x:f>IF(E133="No","Fuera de alcance",IF(H133="","Fuera del contrato",IF(AND(I133="No aplica",J133&lt;&gt;"",K133="Validada"),"No aplica justificado",IF(AND(I133="Realizado",J133&lt;&gt;"",K133="Validada",L133="Aceptado",ISNUMBER(M133)),"Completo",IF(AND(I133="Controlado sin novedad",J133&lt;&gt;"",K133="Validada",ISNUMBER(M133)),"Controlado",IF('Configuración'!$B$11&gt;H133,"Vencido","Pendiente"))))))</x:f>
        <x:v>Pendiente</x:v>
      </x:c>
      <x:c r="O133" s="15"/>
      <x:c r="P133" s="15"/>
    </x:row>
    <x:row r="134" ht="48" customHeight="1">
      <x:c r="A134" s="2" t="n">
        <x:v>127</x:v>
      </x:c>
      <x:c r="B134" s="16" t="str">
        <x:v>Materiales de capacitación</x:v>
      </x:c>
      <x:c r="C134" s="2" t="str">
        <x:v>Comunicación</x:v>
      </x:c>
      <x:c r="D134" s="2" t="str">
        <x:v>Mensual</x:v>
      </x:c>
      <x:c r="E134" s="10" t="str">
        <x:v>Sí</x:v>
      </x:c>
      <x:c r="F134" s="10" t="str">
        <x:v>Por asignar</x:v>
      </x:c>
      <x:c r="G134" s="10" t="n">
        <x:v>16</x:v>
      </x:c>
      <x:c r="H134" s="13" t="n">
        <x:f>IF(E134="No","",IF(OR('Configuración'!$B$10&gt;'Configuración'!$B$9,EOMONTH('Configuración'!$B$10,0)&lt;'Configuración'!$B$8),"",MAX('Configuración'!$B$8,MIN('Configuración'!$B$9,WORKDAY('Configuración'!$B$10-1,G134)))))</x:f>
        <x:v>46349</x:v>
      </x:c>
      <x:c r="I134" s="10" t="str">
        <x:v>Pendiente</x:v>
      </x:c>
      <x:c r="J134" s="10" t="str"/>
      <x:c r="K134" s="10" t="str">
        <x:v>Pendiente</x:v>
      </x:c>
      <x:c r="L134" s="10" t="str">
        <x:v>Pendiente</x:v>
      </x:c>
      <x:c r="M134" s="11"/>
      <x:c r="N134" s="2" t="str">
        <x:f>IF(E134="No","Fuera de alcance",IF(H134="","Fuera del contrato",IF(AND(I134="No aplica",J134&lt;&gt;"",K134="Validada"),"No aplica justificado",IF(AND(I134="Realizado",J134&lt;&gt;"",K134="Validada",L134="Aceptado",ISNUMBER(M134)),"Completo",IF(AND(I134="Controlado sin novedad",J134&lt;&gt;"",K134="Validada",ISNUMBER(M134)),"Controlado",IF('Configuración'!$B$11&gt;H134,"Vencido","Pendiente"))))))</x:f>
        <x:v>Pendiente</x:v>
      </x:c>
      <x:c r="O134" s="15"/>
      <x:c r="P134" s="15"/>
    </x:row>
    <x:row r="135" ht="48" customHeight="1">
      <x:c r="A135" s="2" t="n">
        <x:v>128</x:v>
      </x:c>
      <x:c r="B135" s="16" t="str">
        <x:v>Guiones para reuniones o exposiciones</x:v>
      </x:c>
      <x:c r="C135" s="2" t="str">
        <x:v>Comunicación</x:v>
      </x:c>
      <x:c r="D135" s="2" t="str">
        <x:v>Bajo demanda</x:v>
      </x:c>
      <x:c r="E135" s="10" t="str">
        <x:v>Sí</x:v>
      </x:c>
      <x:c r="F135" s="10" t="str">
        <x:v>Por asignar</x:v>
      </x:c>
      <x:c r="G135" s="10" t="n">
        <x:v>16</x:v>
      </x:c>
      <x:c r="H135" s="13" t="n">
        <x:f>IF(E135="No","",IF(OR('Configuración'!$B$10&gt;'Configuración'!$B$9,EOMONTH('Configuración'!$B$10,0)&lt;'Configuración'!$B$8),"",MAX('Configuración'!$B$8,MIN('Configuración'!$B$9,WORKDAY('Configuración'!$B$10-1,G135)))))</x:f>
        <x:v>46349</x:v>
      </x:c>
      <x:c r="I135" s="10" t="str">
        <x:v>Pendiente</x:v>
      </x:c>
      <x:c r="J135" s="10" t="str"/>
      <x:c r="K135" s="10" t="str">
        <x:v>Pendiente</x:v>
      </x:c>
      <x:c r="L135" s="10" t="str">
        <x:v>Pendiente</x:v>
      </x:c>
      <x:c r="M135" s="11"/>
      <x:c r="N135" s="2" t="str">
        <x:f>IF(E135="No","Fuera de alcance",IF(H135="","Fuera del contrato",IF(AND(I135="No aplica",J135&lt;&gt;"",K135="Validada"),"No aplica justificado",IF(AND(I135="Realizado",J135&lt;&gt;"",K135="Validada",L135="Aceptado",ISNUMBER(M135)),"Completo",IF(AND(I135="Controlado sin novedad",J135&lt;&gt;"",K135="Validada",ISNUMBER(M135)),"Controlado",IF('Configuración'!$B$11&gt;H135,"Vencido","Pendiente"))))))</x:f>
        <x:v>Pendiente</x:v>
      </x:c>
      <x:c r="O135" s="15"/>
      <x:c r="P135" s="15"/>
    </x:row>
    <x:row r="136" ht="48" customHeight="1">
      <x:c r="A136" s="2" t="n">
        <x:v>129</x:v>
      </x:c>
      <x:c r="B136" s="16" t="str">
        <x:v>Adaptación multiformato</x:v>
      </x:c>
      <x:c r="C136" s="2" t="str">
        <x:v>Comunicación</x:v>
      </x:c>
      <x:c r="D136" s="2" t="str">
        <x:v>Bajo demanda</x:v>
      </x:c>
      <x:c r="E136" s="10" t="str">
        <x:v>Sí</x:v>
      </x:c>
      <x:c r="F136" s="10" t="str">
        <x:v>Por asignar</x:v>
      </x:c>
      <x:c r="G136" s="10" t="n">
        <x:v>16</x:v>
      </x:c>
      <x:c r="H136" s="13" t="n">
        <x:f>IF(E136="No","",IF(OR('Configuración'!$B$10&gt;'Configuración'!$B$9,EOMONTH('Configuración'!$B$10,0)&lt;'Configuración'!$B$8),"",MAX('Configuración'!$B$8,MIN('Configuración'!$B$9,WORKDAY('Configuración'!$B$10-1,G136)))))</x:f>
        <x:v>46349</x:v>
      </x:c>
      <x:c r="I136" s="10" t="str">
        <x:v>Pendiente</x:v>
      </x:c>
      <x:c r="J136" s="10" t="str"/>
      <x:c r="K136" s="10" t="str">
        <x:v>Pendiente</x:v>
      </x:c>
      <x:c r="L136" s="10" t="str">
        <x:v>Pendiente</x:v>
      </x:c>
      <x:c r="M136" s="11"/>
      <x:c r="N136" s="2" t="str">
        <x:f>IF(E136="No","Fuera de alcance",IF(H136="","Fuera del contrato",IF(AND(I136="No aplica",J136&lt;&gt;"",K136="Validada"),"No aplica justificado",IF(AND(I136="Realizado",J136&lt;&gt;"",K136="Validada",L136="Aceptado",ISNUMBER(M136)),"Completo",IF(AND(I136="Controlado sin novedad",J136&lt;&gt;"",K136="Validada",ISNUMBER(M136)),"Controlado",IF('Configuración'!$B$11&gt;H136,"Vencido","Pendiente"))))))</x:f>
        <x:v>Pendiente</x:v>
      </x:c>
      <x:c r="O136" s="15"/>
      <x:c r="P136" s="15"/>
    </x:row>
    <x:row r="137" ht="48" customHeight="1">
      <x:c r="A137" s="2" t="n">
        <x:v>130</x:v>
      </x:c>
      <x:c r="B137" s="16" t="str">
        <x:v>Asistente interno de procedimientos</x:v>
      </x:c>
      <x:c r="C137" s="2" t="str">
        <x:v>Asistentes internos</x:v>
      </x:c>
      <x:c r="D137" s="2" t="str">
        <x:v>Mensual</x:v>
      </x:c>
      <x:c r="E137" s="10" t="str">
        <x:v>Sí</x:v>
      </x:c>
      <x:c r="F137" s="10" t="str">
        <x:v>Por asignar</x:v>
      </x:c>
      <x:c r="G137" s="10" t="n">
        <x:v>17</x:v>
      </x:c>
      <x:c r="H137" s="13" t="n">
        <x:f>IF(E137="No","",IF(OR('Configuración'!$B$10&gt;'Configuración'!$B$9,EOMONTH('Configuración'!$B$10,0)&lt;'Configuración'!$B$8),"",MAX('Configuración'!$B$8,MIN('Configuración'!$B$9,WORKDAY('Configuración'!$B$10-1,G137)))))</x:f>
        <x:v>46350</x:v>
      </x:c>
      <x:c r="I137" s="10" t="str">
        <x:v>Pendiente</x:v>
      </x:c>
      <x:c r="J137" s="10" t="str"/>
      <x:c r="K137" s="10" t="str">
        <x:v>Pendiente</x:v>
      </x:c>
      <x:c r="L137" s="10" t="str">
        <x:v>Pendiente</x:v>
      </x:c>
      <x:c r="M137" s="11"/>
      <x:c r="N137" s="2" t="str">
        <x:f>IF(E137="No","Fuera de alcance",IF(H137="","Fuera del contrato",IF(AND(I137="No aplica",J137&lt;&gt;"",K137="Validada"),"No aplica justificado",IF(AND(I137="Realizado",J137&lt;&gt;"",K137="Validada",L137="Aceptado",ISNUMBER(M137)),"Completo",IF(AND(I137="Controlado sin novedad",J137&lt;&gt;"",K137="Validada",ISNUMBER(M137)),"Controlado",IF('Configuración'!$B$11&gt;H137,"Vencido","Pendiente"))))))</x:f>
        <x:v>Pendiente</x:v>
      </x:c>
      <x:c r="O137" s="15"/>
      <x:c r="P137" s="15"/>
    </x:row>
    <x:row r="138" ht="48" customHeight="1">
      <x:c r="A138" s="2" t="n">
        <x:v>131</x:v>
      </x:c>
      <x:c r="B138" s="16" t="str">
        <x:v>Asistente de dirección</x:v>
      </x:c>
      <x:c r="C138" s="2" t="str">
        <x:v>Asistentes internos</x:v>
      </x:c>
      <x:c r="D138" s="2" t="str">
        <x:v>Mensual</x:v>
      </x:c>
      <x:c r="E138" s="10" t="str">
        <x:v>Sí</x:v>
      </x:c>
      <x:c r="F138" s="10" t="str">
        <x:v>Por asignar</x:v>
      </x:c>
      <x:c r="G138" s="10" t="n">
        <x:v>17</x:v>
      </x:c>
      <x:c r="H138" s="13" t="n">
        <x:f>IF(E138="No","",IF(OR('Configuración'!$B$10&gt;'Configuración'!$B$9,EOMONTH('Configuración'!$B$10,0)&lt;'Configuración'!$B$8),"",MAX('Configuración'!$B$8,MIN('Configuración'!$B$9,WORKDAY('Configuración'!$B$10-1,G138)))))</x:f>
        <x:v>46350</x:v>
      </x:c>
      <x:c r="I138" s="10" t="str">
        <x:v>Pendiente</x:v>
      </x:c>
      <x:c r="J138" s="10" t="str"/>
      <x:c r="K138" s="10" t="str">
        <x:v>Pendiente</x:v>
      </x:c>
      <x:c r="L138" s="10" t="str">
        <x:v>Pendiente</x:v>
      </x:c>
      <x:c r="M138" s="11"/>
      <x:c r="N138" s="2" t="str">
        <x:f>IF(E138="No","Fuera de alcance",IF(H138="","Fuera del contrato",IF(AND(I138="No aplica",J138&lt;&gt;"",K138="Validada"),"No aplica justificado",IF(AND(I138="Realizado",J138&lt;&gt;"",K138="Validada",L138="Aceptado",ISNUMBER(M138)),"Completo",IF(AND(I138="Controlado sin novedad",J138&lt;&gt;"",K138="Validada",ISNUMBER(M138)),"Controlado",IF('Configuración'!$B$11&gt;H138,"Vencido","Pendiente"))))))</x:f>
        <x:v>Pendiente</x:v>
      </x:c>
      <x:c r="O138" s="15"/>
      <x:c r="P138" s="15"/>
    </x:row>
    <x:row r="139" ht="48" customHeight="1">
      <x:c r="A139" s="2" t="n">
        <x:v>132</x:v>
      </x:c>
      <x:c r="B139" s="16" t="str">
        <x:v>Asistente contable</x:v>
      </x:c>
      <x:c r="C139" s="2" t="str">
        <x:v>Asistentes internos</x:v>
      </x:c>
      <x:c r="D139" s="2" t="str">
        <x:v>Mensual</x:v>
      </x:c>
      <x:c r="E139" s="10" t="str">
        <x:v>Sí</x:v>
      </x:c>
      <x:c r="F139" s="10" t="str">
        <x:v>Por asignar</x:v>
      </x:c>
      <x:c r="G139" s="10" t="n">
        <x:v>17</x:v>
      </x:c>
      <x:c r="H139" s="13" t="n">
        <x:f>IF(E139="No","",IF(OR('Configuración'!$B$10&gt;'Configuración'!$B$9,EOMONTH('Configuración'!$B$10,0)&lt;'Configuración'!$B$8),"",MAX('Configuración'!$B$8,MIN('Configuración'!$B$9,WORKDAY('Configuración'!$B$10-1,G139)))))</x:f>
        <x:v>46350</x:v>
      </x:c>
      <x:c r="I139" s="10" t="str">
        <x:v>Pendiente</x:v>
      </x:c>
      <x:c r="J139" s="10" t="str"/>
      <x:c r="K139" s="10" t="str">
        <x:v>Pendiente</x:v>
      </x:c>
      <x:c r="L139" s="10" t="str">
        <x:v>Pendiente</x:v>
      </x:c>
      <x:c r="M139" s="11"/>
      <x:c r="N139" s="2" t="str">
        <x:f>IF(E139="No","Fuera de alcance",IF(H139="","Fuera del contrato",IF(AND(I139="No aplica",J139&lt;&gt;"",K139="Validada"),"No aplica justificado",IF(AND(I139="Realizado",J139&lt;&gt;"",K139="Validada",L139="Aceptado",ISNUMBER(M139)),"Completo",IF(AND(I139="Controlado sin novedad",J139&lt;&gt;"",K139="Validada",ISNUMBER(M139)),"Controlado",IF('Configuración'!$B$11&gt;H139,"Vencido","Pendiente"))))))</x:f>
        <x:v>Pendiente</x:v>
      </x:c>
      <x:c r="O139" s="15"/>
      <x:c r="P139" s="15"/>
    </x:row>
    <x:row r="140" ht="48" customHeight="1">
      <x:c r="A140" s="2" t="n">
        <x:v>133</x:v>
      </x:c>
      <x:c r="B140" s="16" t="str">
        <x:v>Asistente de contratación</x:v>
      </x:c>
      <x:c r="C140" s="2" t="str">
        <x:v>Asistentes internos</x:v>
      </x:c>
      <x:c r="D140" s="2" t="str">
        <x:v>Mensual</x:v>
      </x:c>
      <x:c r="E140" s="10" t="str">
        <x:v>Sí</x:v>
      </x:c>
      <x:c r="F140" s="10" t="str">
        <x:v>Por asignar</x:v>
      </x:c>
      <x:c r="G140" s="10" t="n">
        <x:v>17</x:v>
      </x:c>
      <x:c r="H140" s="13" t="n">
        <x:f>IF(E140="No","",IF(OR('Configuración'!$B$10&gt;'Configuración'!$B$9,EOMONTH('Configuración'!$B$10,0)&lt;'Configuración'!$B$8),"",MAX('Configuración'!$B$8,MIN('Configuración'!$B$9,WORKDAY('Configuración'!$B$10-1,G140)))))</x:f>
        <x:v>46350</x:v>
      </x:c>
      <x:c r="I140" s="10" t="str">
        <x:v>Pendiente</x:v>
      </x:c>
      <x:c r="J140" s="10" t="str"/>
      <x:c r="K140" s="10" t="str">
        <x:v>Pendiente</x:v>
      </x:c>
      <x:c r="L140" s="10" t="str">
        <x:v>Pendiente</x:v>
      </x:c>
      <x:c r="M140" s="11"/>
      <x:c r="N140" s="2" t="str">
        <x:f>IF(E140="No","Fuera de alcance",IF(H140="","Fuera del contrato",IF(AND(I140="No aplica",J140&lt;&gt;"",K140="Validada"),"No aplica justificado",IF(AND(I140="Realizado",J140&lt;&gt;"",K140="Validada",L140="Aceptado",ISNUMBER(M140)),"Completo",IF(AND(I140="Controlado sin novedad",J140&lt;&gt;"",K140="Validada",ISNUMBER(M140)),"Controlado",IF('Configuración'!$B$11&gt;H140,"Vencido","Pendiente"))))))</x:f>
        <x:v>Pendiente</x:v>
      </x:c>
      <x:c r="O140" s="15"/>
      <x:c r="P140" s="15"/>
    </x:row>
    <x:row r="141" ht="48" customHeight="1">
      <x:c r="A141" s="2" t="n">
        <x:v>134</x:v>
      </x:c>
      <x:c r="B141" s="16" t="str">
        <x:v>Agente de vigilancia normativa</x:v>
      </x:c>
      <x:c r="C141" s="2" t="str">
        <x:v>Asistentes internos</x:v>
      </x:c>
      <x:c r="D141" s="2" t="str">
        <x:v>Mensual</x:v>
      </x:c>
      <x:c r="E141" s="10" t="str">
        <x:v>Sí</x:v>
      </x:c>
      <x:c r="F141" s="10" t="str">
        <x:v>Por asignar</x:v>
      </x:c>
      <x:c r="G141" s="10" t="n">
        <x:v>17</x:v>
      </x:c>
      <x:c r="H141" s="13" t="n">
        <x:f>IF(E141="No","",IF(OR('Configuración'!$B$10&gt;'Configuración'!$B$9,EOMONTH('Configuración'!$B$10,0)&lt;'Configuración'!$B$8),"",MAX('Configuración'!$B$8,MIN('Configuración'!$B$9,WORKDAY('Configuración'!$B$10-1,G141)))))</x:f>
        <x:v>46350</x:v>
      </x:c>
      <x:c r="I141" s="10" t="str">
        <x:v>Pendiente</x:v>
      </x:c>
      <x:c r="J141" s="10" t="str"/>
      <x:c r="K141" s="10" t="str">
        <x:v>Pendiente</x:v>
      </x:c>
      <x:c r="L141" s="10" t="str">
        <x:v>Pendiente</x:v>
      </x:c>
      <x:c r="M141" s="11"/>
      <x:c r="N141" s="2" t="str">
        <x:f>IF(E141="No","Fuera de alcance",IF(H141="","Fuera del contrato",IF(AND(I141="No aplica",J141&lt;&gt;"",K141="Validada"),"No aplica justificado",IF(AND(I141="Realizado",J141&lt;&gt;"",K141="Validada",L141="Aceptado",ISNUMBER(M141)),"Completo",IF(AND(I141="Controlado sin novedad",J141&lt;&gt;"",K141="Validada",ISNUMBER(M141)),"Controlado",IF('Configuración'!$B$11&gt;H141,"Vencido","Pendiente"))))))</x:f>
        <x:v>Pendiente</x:v>
      </x:c>
      <x:c r="O141" s="15"/>
      <x:c r="P141" s="15"/>
    </x:row>
    <x:row r="142" ht="48" customHeight="1">
      <x:c r="A142" s="2" t="n">
        <x:v>135</x:v>
      </x:c>
      <x:c r="B142" s="16" t="str">
        <x:v>Agente de seguimiento</x:v>
      </x:c>
      <x:c r="C142" s="2" t="str">
        <x:v>Asistentes internos</x:v>
      </x:c>
      <x:c r="D142" s="2" t="str">
        <x:v>Diaria</x:v>
      </x:c>
      <x:c r="E142" s="10" t="str">
        <x:v>Sí</x:v>
      </x:c>
      <x:c r="F142" s="10" t="str">
        <x:v>Por asignar</x:v>
      </x:c>
      <x:c r="G142" s="10" t="n">
        <x:v>17</x:v>
      </x:c>
      <x:c r="H142" s="13" t="n">
        <x:f>IF(E142="No","",IF(OR('Configuración'!$B$10&gt;'Configuración'!$B$9,EOMONTH('Configuración'!$B$10,0)&lt;'Configuración'!$B$8),"",MAX('Configuración'!$B$8,MIN('Configuración'!$B$9,WORKDAY('Configuración'!$B$10-1,G142)))))</x:f>
        <x:v>46350</x:v>
      </x:c>
      <x:c r="I142" s="10" t="str">
        <x:v>Pendiente</x:v>
      </x:c>
      <x:c r="J142" s="10" t="str"/>
      <x:c r="K142" s="10" t="str">
        <x:v>Pendiente</x:v>
      </x:c>
      <x:c r="L142" s="10" t="str">
        <x:v>Pendiente</x:v>
      </x:c>
      <x:c r="M142" s="11"/>
      <x:c r="N142" s="2" t="str">
        <x:f>IF(E142="No","Fuera de alcance",IF(H142="","Fuera del contrato",IF(AND(I142="No aplica",J142&lt;&gt;"",K142="Validada"),"No aplica justificado",IF(AND(I142="Realizado",J142&lt;&gt;"",K142="Validada",L142="Aceptado",ISNUMBER(M142)),"Completo",IF(AND(I142="Controlado sin novedad",J142&lt;&gt;"",K142="Validada",ISNUMBER(M142)),"Controlado",IF('Configuración'!$B$11&gt;H142,"Vencido","Pendiente"))))))</x:f>
        <x:v>Pendiente</x:v>
      </x:c>
      <x:c r="O142" s="15"/>
      <x:c r="P142" s="15"/>
    </x:row>
    <x:row r="143" ht="48" customHeight="1">
      <x:c r="A143" s="2" t="n">
        <x:v>136</x:v>
      </x:c>
      <x:c r="B143" s="16" t="str">
        <x:v>Orquestación de trabajo entre áreas</x:v>
      </x:c>
      <x:c r="C143" s="2" t="str">
        <x:v>Asistentes internos</x:v>
      </x:c>
      <x:c r="D143" s="2" t="str">
        <x:v>Semanal</x:v>
      </x:c>
      <x:c r="E143" s="10" t="str">
        <x:v>Sí</x:v>
      </x:c>
      <x:c r="F143" s="10" t="str">
        <x:v>Por asignar</x:v>
      </x:c>
      <x:c r="G143" s="10" t="n">
        <x:v>17</x:v>
      </x:c>
      <x:c r="H143" s="13" t="n">
        <x:f>IF(E143="No","",IF(OR('Configuración'!$B$10&gt;'Configuración'!$B$9,EOMONTH('Configuración'!$B$10,0)&lt;'Configuración'!$B$8),"",MAX('Configuración'!$B$8,MIN('Configuración'!$B$9,WORKDAY('Configuración'!$B$10-1,G143)))))</x:f>
        <x:v>46350</x:v>
      </x:c>
      <x:c r="I143" s="10" t="str">
        <x:v>Pendiente</x:v>
      </x:c>
      <x:c r="J143" s="10" t="str"/>
      <x:c r="K143" s="10" t="str">
        <x:v>Pendiente</x:v>
      </x:c>
      <x:c r="L143" s="10" t="str">
        <x:v>Pendiente</x:v>
      </x:c>
      <x:c r="M143" s="11"/>
      <x:c r="N143" s="2" t="str">
        <x:f>IF(E143="No","Fuera de alcance",IF(H143="","Fuera del contrato",IF(AND(I143="No aplica",J143&lt;&gt;"",K143="Validada"),"No aplica justificado",IF(AND(I143="Realizado",J143&lt;&gt;"",K143="Validada",L143="Aceptado",ISNUMBER(M143)),"Completo",IF(AND(I143="Controlado sin novedad",J143&lt;&gt;"",K143="Validada",ISNUMBER(M143)),"Controlado",IF('Configuración'!$B$11&gt;H143,"Vencido","Pendiente"))))))</x:f>
        <x:v>Pendiente</x:v>
      </x:c>
      <x:c r="O143" s="15"/>
      <x:c r="P143" s="15"/>
    </x:row>
    <x:row r="144" ht="48" customHeight="1">
      <x:c r="A144" s="2" t="n">
        <x:v>137</x:v>
      </x:c>
      <x:c r="B144" s="16" t="str">
        <x:v>Diagnóstico interno integral</x:v>
      </x:c>
      <x:c r="C144" s="2" t="str">
        <x:v>Diagnóstico e implantación</x:v>
      </x:c>
      <x:c r="D144" s="2" t="str">
        <x:v>Mensual</x:v>
      </x:c>
      <x:c r="E144" s="10" t="str">
        <x:v>Sí</x:v>
      </x:c>
      <x:c r="F144" s="10" t="str">
        <x:v>Por asignar</x:v>
      </x:c>
      <x:c r="G144" s="10" t="n">
        <x:v>18</x:v>
      </x:c>
      <x:c r="H144" s="13" t="n">
        <x:f>IF(E144="No","",IF(OR('Configuración'!$B$10&gt;'Configuración'!$B$9,EOMONTH('Configuración'!$B$10,0)&lt;'Configuración'!$B$8),"",MAX('Configuración'!$B$8,MIN('Configuración'!$B$9,WORKDAY('Configuración'!$B$10-1,G144)))))</x:f>
        <x:v>46351</x:v>
      </x:c>
      <x:c r="I144" s="10" t="str">
        <x:v>Pendiente</x:v>
      </x:c>
      <x:c r="J144" s="10" t="str"/>
      <x:c r="K144" s="10" t="str">
        <x:v>Pendiente</x:v>
      </x:c>
      <x:c r="L144" s="10" t="str">
        <x:v>Pendiente</x:v>
      </x:c>
      <x:c r="M144" s="11"/>
      <x:c r="N144" s="2" t="str">
        <x:f>IF(E144="No","Fuera de alcance",IF(H144="","Fuera del contrato",IF(AND(I144="No aplica",J144&lt;&gt;"",K144="Validada"),"No aplica justificado",IF(AND(I144="Realizado",J144&lt;&gt;"",K144="Validada",L144="Aceptado",ISNUMBER(M144)),"Completo",IF(AND(I144="Controlado sin novedad",J144&lt;&gt;"",K144="Validada",ISNUMBER(M144)),"Controlado",IF('Configuración'!$B$11&gt;H144,"Vencido","Pendiente"))))))</x:f>
        <x:v>Pendiente</x:v>
      </x:c>
      <x:c r="O144" s="15"/>
      <x:c r="P144" s="15"/>
    </x:row>
    <x:row r="145" ht="48" customHeight="1">
      <x:c r="A145" s="2" t="n">
        <x:v>138</x:v>
      </x:c>
      <x:c r="B145" s="16" t="str">
        <x:v>Inventario de tareas repetitivas</x:v>
      </x:c>
      <x:c r="C145" s="2" t="str">
        <x:v>Automatización</x:v>
      </x:c>
      <x:c r="D145" s="2" t="str">
        <x:v>Semanal</x:v>
      </x:c>
      <x:c r="E145" s="10" t="str">
        <x:v>Sí</x:v>
      </x:c>
      <x:c r="F145" s="10" t="str">
        <x:v>Por asignar</x:v>
      </x:c>
      <x:c r="G145" s="10" t="n">
        <x:v>18</x:v>
      </x:c>
      <x:c r="H145" s="13" t="n">
        <x:f>IF(E145="No","",IF(OR('Configuración'!$B$10&gt;'Configuración'!$B$9,EOMONTH('Configuración'!$B$10,0)&lt;'Configuración'!$B$8),"",MAX('Configuración'!$B$8,MIN('Configuración'!$B$9,WORKDAY('Configuración'!$B$10-1,G145)))))</x:f>
        <x:v>46351</x:v>
      </x:c>
      <x:c r="I145" s="10" t="str">
        <x:v>Pendiente</x:v>
      </x:c>
      <x:c r="J145" s="10" t="str"/>
      <x:c r="K145" s="10" t="str">
        <x:v>Pendiente</x:v>
      </x:c>
      <x:c r="L145" s="10" t="str">
        <x:v>Pendiente</x:v>
      </x:c>
      <x:c r="M145" s="11"/>
      <x:c r="N145" s="2" t="str">
        <x:f>IF(E145="No","Fuera de alcance",IF(H145="","Fuera del contrato",IF(AND(I145="No aplica",J145&lt;&gt;"",K145="Validada"),"No aplica justificado",IF(AND(I145="Realizado",J145&lt;&gt;"",K145="Validada",L145="Aceptado",ISNUMBER(M145)),"Completo",IF(AND(I145="Controlado sin novedad",J145&lt;&gt;"",K145="Validada",ISNUMBER(M145)),"Controlado",IF('Configuración'!$B$11&gt;H145,"Vencido","Pendiente"))))))</x:f>
        <x:v>Pendiente</x:v>
      </x:c>
      <x:c r="O145" s="15"/>
      <x:c r="P145" s="15"/>
    </x:row>
    <x:row r="146" ht="48" customHeight="1">
      <x:c r="A146" s="2" t="n">
        <x:v>139</x:v>
      </x:c>
      <x:c r="B146" s="16" t="str">
        <x:v>Medición de tiempo ahorrado</x:v>
      </x:c>
      <x:c r="C146" s="2" t="str">
        <x:v>Automatización</x:v>
      </x:c>
      <x:c r="D146" s="2" t="str">
        <x:v>Semanal</x:v>
      </x:c>
      <x:c r="E146" s="10" t="str">
        <x:v>Sí</x:v>
      </x:c>
      <x:c r="F146" s="10" t="str">
        <x:v>Por asignar</x:v>
      </x:c>
      <x:c r="G146" s="10" t="n">
        <x:v>18</x:v>
      </x:c>
      <x:c r="H146" s="13" t="n">
        <x:f>IF(E146="No","",IF(OR('Configuración'!$B$10&gt;'Configuración'!$B$9,EOMONTH('Configuración'!$B$10,0)&lt;'Configuración'!$B$8),"",MAX('Configuración'!$B$8,MIN('Configuración'!$B$9,WORKDAY('Configuración'!$B$10-1,G146)))))</x:f>
        <x:v>46351</x:v>
      </x:c>
      <x:c r="I146" s="10" t="str">
        <x:v>Pendiente</x:v>
      </x:c>
      <x:c r="J146" s="10" t="str"/>
      <x:c r="K146" s="10" t="str">
        <x:v>Pendiente</x:v>
      </x:c>
      <x:c r="L146" s="10" t="str">
        <x:v>Pendiente</x:v>
      </x:c>
      <x:c r="M146" s="11"/>
      <x:c r="N146" s="2" t="str">
        <x:f>IF(E146="No","Fuera de alcance",IF(H146="","Fuera del contrato",IF(AND(I146="No aplica",J146&lt;&gt;"",K146="Validada"),"No aplica justificado",IF(AND(I146="Realizado",J146&lt;&gt;"",K146="Validada",L146="Aceptado",ISNUMBER(M146)),"Completo",IF(AND(I146="Controlado sin novedad",J146&lt;&gt;"",K146="Validada",ISNUMBER(M146)),"Controlado",IF('Configuración'!$B$11&gt;H146,"Vencido","Pendiente"))))))</x:f>
        <x:v>Pendiente</x:v>
      </x:c>
      <x:c r="O146" s="15"/>
      <x:c r="P146" s="15"/>
    </x:row>
    <x:row r="147" ht="48" customHeight="1">
      <x:c r="A147" s="2" t="n">
        <x:v>140</x:v>
      </x:c>
      <x:c r="B147" s="16" t="str">
        <x:v>Pilotos de automatización</x:v>
      </x:c>
      <x:c r="C147" s="2" t="str">
        <x:v>Automatización</x:v>
      </x:c>
      <x:c r="D147" s="2" t="str">
        <x:v>Semanal</x:v>
      </x:c>
      <x:c r="E147" s="10" t="str">
        <x:v>Sí</x:v>
      </x:c>
      <x:c r="F147" s="10" t="str">
        <x:v>Por asignar</x:v>
      </x:c>
      <x:c r="G147" s="10" t="n">
        <x:v>18</x:v>
      </x:c>
      <x:c r="H147" s="13" t="n">
        <x:f>IF(E147="No","",IF(OR('Configuración'!$B$10&gt;'Configuración'!$B$9,EOMONTH('Configuración'!$B$10,0)&lt;'Configuración'!$B$8),"",MAX('Configuración'!$B$8,MIN('Configuración'!$B$9,WORKDAY('Configuración'!$B$10-1,G147)))))</x:f>
        <x:v>46351</x:v>
      </x:c>
      <x:c r="I147" s="10" t="str">
        <x:v>Pendiente</x:v>
      </x:c>
      <x:c r="J147" s="10" t="str"/>
      <x:c r="K147" s="10" t="str">
        <x:v>Pendiente</x:v>
      </x:c>
      <x:c r="L147" s="10" t="str">
        <x:v>Pendiente</x:v>
      </x:c>
      <x:c r="M147" s="11"/>
      <x:c r="N147" s="2" t="str">
        <x:f>IF(E147="No","Fuera de alcance",IF(H147="","Fuera del contrato",IF(AND(I147="No aplica",J147&lt;&gt;"",K147="Validada"),"No aplica justificado",IF(AND(I147="Realizado",J147&lt;&gt;"",K147="Validada",L147="Aceptado",ISNUMBER(M147)),"Completo",IF(AND(I147="Controlado sin novedad",J147&lt;&gt;"",K147="Validada",ISNUMBER(M147)),"Controlado",IF('Configuración'!$B$11&gt;H147,"Vencido","Pendiente"))))))</x:f>
        <x:v>Pendiente</x:v>
      </x:c>
      <x:c r="O147" s="15"/>
      <x:c r="P147" s="15"/>
    </x:row>
    <x:row r="148" ht="48" customHeight="1">
      <x:c r="A148" s="2" t="n">
        <x:v>141</x:v>
      </x:c>
      <x:c r="B148" s="16" t="str">
        <x:v>Implantación de oficina inteligente</x:v>
      </x:c>
      <x:c r="C148" s="2" t="str">
        <x:v>Diagnóstico e implantación</x:v>
      </x:c>
      <x:c r="D148" s="2" t="str">
        <x:v>Mensual</x:v>
      </x:c>
      <x:c r="E148" s="10" t="str">
        <x:v>Sí</x:v>
      </x:c>
      <x:c r="F148" s="10" t="str">
        <x:v>Por asignar</x:v>
      </x:c>
      <x:c r="G148" s="10" t="n">
        <x:v>18</x:v>
      </x:c>
      <x:c r="H148" s="13" t="n">
        <x:f>IF(E148="No","",IF(OR('Configuración'!$B$10&gt;'Configuración'!$B$9,EOMONTH('Configuración'!$B$10,0)&lt;'Configuración'!$B$8),"",MAX('Configuración'!$B$8,MIN('Configuración'!$B$9,WORKDAY('Configuración'!$B$10-1,G148)))))</x:f>
        <x:v>46351</x:v>
      </x:c>
      <x:c r="I148" s="10" t="str">
        <x:v>Pendiente</x:v>
      </x:c>
      <x:c r="J148" s="10" t="str"/>
      <x:c r="K148" s="10" t="str">
        <x:v>Pendiente</x:v>
      </x:c>
      <x:c r="L148" s="10" t="str">
        <x:v>Pendiente</x:v>
      </x:c>
      <x:c r="M148" s="11"/>
      <x:c r="N148" s="2" t="str">
        <x:f>IF(E148="No","Fuera de alcance",IF(H148="","Fuera del contrato",IF(AND(I148="No aplica",J148&lt;&gt;"",K148="Validada"),"No aplica justificado",IF(AND(I148="Realizado",J148&lt;&gt;"",K148="Validada",L148="Aceptado",ISNUMBER(M148)),"Completo",IF(AND(I148="Controlado sin novedad",J148&lt;&gt;"",K148="Validada",ISNUMBER(M148)),"Controlado",IF('Configuración'!$B$11&gt;H148,"Vencido","Pendiente"))))))</x:f>
        <x:v>Pendiente</x:v>
      </x:c>
      <x:c r="O148" s="15"/>
      <x:c r="P148" s="15"/>
    </x:row>
    <x:row r="149" ht="48" customHeight="1">
      <x:c r="A149" s="2" t="n">
        <x:v>142</x:v>
      </x:c>
      <x:c r="B149" s="16" t="str">
        <x:v>Servicio gestionado por un tercero</x:v>
      </x:c>
      <x:c r="C149" s="2" t="str">
        <x:v>Diagnóstico e implantación</x:v>
      </x:c>
      <x:c r="D149" s="2" t="str">
        <x:v>Mensual</x:v>
      </x:c>
      <x:c r="E149" s="10" t="str">
        <x:v>Sí</x:v>
      </x:c>
      <x:c r="F149" s="10" t="str">
        <x:v>Por asignar</x:v>
      </x:c>
      <x:c r="G149" s="10" t="n">
        <x:v>18</x:v>
      </x:c>
      <x:c r="H149" s="13" t="n">
        <x:f>IF(E149="No","",IF(OR('Configuración'!$B$10&gt;'Configuración'!$B$9,EOMONTH('Configuración'!$B$10,0)&lt;'Configuración'!$B$8),"",MAX('Configuración'!$B$8,MIN('Configuración'!$B$9,WORKDAY('Configuración'!$B$10-1,G149)))))</x:f>
        <x:v>46351</x:v>
      </x:c>
      <x:c r="I149" s="10" t="str">
        <x:v>Pendiente</x:v>
      </x:c>
      <x:c r="J149" s="10" t="str"/>
      <x:c r="K149" s="10" t="str">
        <x:v>Pendiente</x:v>
      </x:c>
      <x:c r="L149" s="10" t="str">
        <x:v>Pendiente</x:v>
      </x:c>
      <x:c r="M149" s="11"/>
      <x:c r="N149" s="2" t="str">
        <x:f>IF(E149="No","Fuera de alcance",IF(H149="","Fuera del contrato",IF(AND(I149="No aplica",J149&lt;&gt;"",K149="Validada"),"No aplica justificado",IF(AND(I149="Realizado",J149&lt;&gt;"",K149="Validada",L149="Aceptado",ISNUMBER(M149)),"Completo",IF(AND(I149="Controlado sin novedad",J149&lt;&gt;"",K149="Validada",ISNUMBER(M149)),"Controlado",IF('Configuración'!$B$11&gt;H149,"Vencido","Pendiente"))))))</x:f>
        <x:v>Pendiente</x:v>
      </x:c>
      <x:c r="O149" s="15"/>
      <x:c r="P149" s="15"/>
    </x:row>
    <x:row r="150" ht="48" customHeight="1">
      <x:c r="A150" s="2" t="n">
        <x:v>143</x:v>
      </x:c>
      <x:c r="B150" s="16" t="str">
        <x:v>Transferencia y acompañamiento</x:v>
      </x:c>
      <x:c r="C150" s="2" t="str">
        <x:v>Diagnóstico e implantación</x:v>
      </x:c>
      <x:c r="D150" s="2" t="str">
        <x:v>Mensual</x:v>
      </x:c>
      <x:c r="E150" s="10" t="str">
        <x:v>Sí</x:v>
      </x:c>
      <x:c r="F150" s="10" t="str">
        <x:v>Por asignar</x:v>
      </x:c>
      <x:c r="G150" s="10" t="n">
        <x:v>18</x:v>
      </x:c>
      <x:c r="H150" s="13" t="n">
        <x:f>IF(E150="No","",IF(OR('Configuración'!$B$10&gt;'Configuración'!$B$9,EOMONTH('Configuración'!$B$10,0)&lt;'Configuración'!$B$8),"",MAX('Configuración'!$B$8,MIN('Configuración'!$B$9,WORKDAY('Configuración'!$B$10-1,G150)))))</x:f>
        <x:v>46351</x:v>
      </x:c>
      <x:c r="I150" s="10" t="str">
        <x:v>Pendiente</x:v>
      </x:c>
      <x:c r="J150" s="10" t="str"/>
      <x:c r="K150" s="10" t="str">
        <x:v>Pendiente</x:v>
      </x:c>
      <x:c r="L150" s="10" t="str">
        <x:v>Pendiente</x:v>
      </x:c>
      <x:c r="M150" s="11"/>
      <x:c r="N150" s="2" t="str">
        <x:f>IF(E150="No","Fuera de alcance",IF(H150="","Fuera del contrato",IF(AND(I150="No aplica",J150&lt;&gt;"",K150="Validada"),"No aplica justificado",IF(AND(I150="Realizado",J150&lt;&gt;"",K150="Validada",L150="Aceptado",ISNUMBER(M150)),"Completo",IF(AND(I150="Controlado sin novedad",J150&lt;&gt;"",K150="Validada",ISNUMBER(M150)),"Controlado",IF('Configuración'!$B$11&gt;H150,"Vencido","Pendiente"))))))</x:f>
        <x:v>Pendiente</x:v>
      </x:c>
      <x:c r="O150" s="15"/>
      <x:c r="P150" s="15"/>
    </x:row>
    <x:row r="151" ht="48" customHeight="1">
      <x:c r="A151" s="2" t="n">
        <x:v>144</x:v>
      </x:c>
      <x:c r="B151" s="16" t="str">
        <x:v>Organización y puesta en marcha de nuevos actores económicos</x:v>
      </x:c>
      <x:c r="C151" s="2" t="str">
        <x:v>Nuevos actores económicos</x:v>
      </x:c>
      <x:c r="D151" s="2" t="str">
        <x:v>Mensual</x:v>
      </x:c>
      <x:c r="E151" s="10" t="str">
        <x:v>Sí</x:v>
      </x:c>
      <x:c r="F151" s="10" t="str">
        <x:v>Por asignar</x:v>
      </x:c>
      <x:c r="G151" s="10" t="n">
        <x:v>19</x:v>
      </x:c>
      <x:c r="H151" s="13" t="n">
        <x:f>IF(E151="No","",IF(OR('Configuración'!$B$10&gt;'Configuración'!$B$9,EOMONTH('Configuración'!$B$10,0)&lt;'Configuración'!$B$8),"",MAX('Configuración'!$B$8,MIN('Configuración'!$B$9,WORKDAY('Configuración'!$B$10-1,G151)))))</x:f>
        <x:v>46352</x:v>
      </x:c>
      <x:c r="I151" s="10" t="str">
        <x:v>Pendiente</x:v>
      </x:c>
      <x:c r="J151" s="10" t="str"/>
      <x:c r="K151" s="10" t="str">
        <x:v>Pendiente</x:v>
      </x:c>
      <x:c r="L151" s="10" t="str">
        <x:v>Pendiente</x:v>
      </x:c>
      <x:c r="M151" s="11"/>
      <x:c r="N151" s="2" t="str">
        <x:f>IF(E151="No","Fuera de alcance",IF(H151="","Fuera del contrato",IF(AND(I151="No aplica",J151&lt;&gt;"",K151="Validada"),"No aplica justificado",IF(AND(I151="Realizado",J151&lt;&gt;"",K151="Validada",L151="Aceptado",ISNUMBER(M151)),"Completo",IF(AND(I151="Controlado sin novedad",J151&lt;&gt;"",K151="Validada",ISNUMBER(M151)),"Controlado",IF('Configuración'!$B$11&gt;H151,"Vencido","Pendiente"))))))</x:f>
        <x:v>Pendiente</x:v>
      </x:c>
      <x:c r="O151" s="15"/>
      <x:c r="P151" s="15"/>
    </x:row>
  </x:sheetData>
  <x:conditionalFormatting sqref="N8:N151">
    <x:cfRule type="containsText" dxfId="0" priority="1" operator="containsText" text="Vencido"/>
    <x:cfRule type="containsText" dxfId="1" priority="2" operator="containsText" text="Completo"/>
  </x:conditionalFormatting>
  <x:dataValidations count="4">
    <x:dataValidation type="list" sqref="E8:E151">
      <x:formula1>"Sí,No"</x:formula1>
    </x:dataValidation>
    <x:dataValidation type="list" sqref="I8:I151">
      <x:formula1>"Pendiente,En curso,Realizado,Controlado sin novedad,No aplica"</x:formula1>
    </x:dataValidation>
    <x:dataValidation type="list" sqref="K8:K151">
      <x:formula1>"Pendiente,Validada,Requiere corrección"</x:formula1>
    </x:dataValidation>
    <x:dataValidation type="list" sqref="L8:L151">
      <x:formula1>"Pendiente,Aceptado,Rechazado"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9" hidden="0" customWidth="1"/>
    <x:col min="4" max="4" width="57" hidden="0" customWidth="1"/>
    <x:col min="5" max="5" width="25" hidden="0" customWidth="1"/>
    <x:col min="6" max="6" width="50" hidden="0" customWidth="1"/>
    <x:col min="7" max="7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Agenda diaria del mes</x:v>
      </x:c>
      <x:c r="B2" s="2"/>
      <x:c r="C2" s="2"/>
      <x:c r="D2" s="2"/>
      <x:c r="E2" s="2"/>
      <x:c r="F2" s="2"/>
      <x:c r="G2" s="2"/>
    </x:row>
    <x:row r="3" ht="24" customHeight="1">
      <x:c r="A3" s="4"/>
      <x:c r="B3" s="4"/>
      <x:c r="C3" s="4"/>
      <x:c r="D3" s="4"/>
      <x:c r="E3" s="4"/>
      <x:c r="F3" s="4"/>
      <x:c r="G3" s="4"/>
    </x:row>
    <x:row r="4" ht="24" customHeight="1">
      <x:c r="A4" s="5" t="str">
        <x:v>Horario propuesto. La fecha se ajusta al mes seleccionado; detener al finalizar el contrato.</x:v>
      </x:c>
      <x:c r="B4" s="2"/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34" customHeight="1">
      <x:c r="A7" s="9" t="str">
        <x:v>Día laborable</x:v>
      </x:c>
      <x:c r="B7" s="9" t="str">
        <x:v>Fecha</x:v>
      </x:c>
      <x:c r="C7" s="9" t="str">
        <x:v>Horario</x:v>
      </x:c>
      <x:c r="D7" s="9" t="str">
        <x:v>Actividad</x:v>
      </x:c>
      <x:c r="E7" s="9" t="str">
        <x:v>Responsable</x:v>
      </x:c>
      <x:c r="F7" s="9" t="str">
        <x:v>Evidencia diaria</x:v>
      </x:c>
      <x:c r="G7" s="9" t="str">
        <x:v>Estado</x:v>
      </x:c>
    </x:row>
    <x:row r="8" ht="24" customHeight="1">
      <x:c r="A8" s="2" t="n">
        <x:v>1</x:v>
      </x:c>
      <x:c r="B8" s="13" t="n">
        <x:f>IF(OR(WORKDAY('Configuración'!$B$10-1,A8)&gt;EOMONTH('Configuración'!$B$10,0),WORKDAY('Configuración'!$B$10-1,A8)&gt;'Configuración'!$B$9),"",IF(WORKDAY('Configuración'!$B$10-1,A8)&lt;'Configuración'!$B$8,"",WORKDAY('Configuración'!$B$10-1,A8)))</x:f>
        <x:v>46328</x:v>
      </x:c>
      <x:c r="C8" s="2" t="str">
        <x:v>08:30–09:00</x:v>
      </x:c>
      <x:c r="D8" s="2" t="str">
        <x:v>Pedidos, fuentes, vencimientos y prioridades</x:v>
      </x:c>
      <x:c r="E8" s="10" t="str">
        <x:v>Por asignar</x:v>
      </x:c>
      <x:c r="F8" s="10" t="str"/>
      <x:c r="G8" s="10" t="str">
        <x:v>Pendiente</x:v>
      </x:c>
    </x:row>
    <x:row r="9" ht="24" customHeight="1">
      <x:c r="A9" s="2" t="n">
        <x:v>1</x:v>
      </x:c>
      <x:c r="B9" s="13" t="n">
        <x:f>IF(OR(WORKDAY('Configuración'!$B$10-1,A9)&gt;EOMONTH('Configuración'!$B$10,0),WORKDAY('Configuración'!$B$10-1,A9)&gt;'Configuración'!$B$9),"",IF(WORKDAY('Configuración'!$B$10-1,A9)&lt;'Configuración'!$B$8,"",WORKDAY('Configuración'!$B$10-1,A9)))</x:f>
        <x:v>46328</x:v>
      </x:c>
      <x:c r="C9" s="2" t="str">
        <x:v>09:00–11:30</x:v>
      </x:c>
      <x:c r="D9" s="2" t="str">
        <x:v>Servicios programados y controles diarios</x:v>
      </x:c>
      <x:c r="E9" s="10" t="str">
        <x:v>Por asignar</x:v>
      </x:c>
      <x:c r="F9" s="10" t="str"/>
      <x:c r="G9" s="10" t="str">
        <x:v>Pendiente</x:v>
      </x:c>
    </x:row>
    <x:row r="10" ht="24" customHeight="1">
      <x:c r="A10" s="2" t="n">
        <x:v>1</x:v>
      </x:c>
      <x:c r="B10" s="13" t="n">
        <x:f>IF(OR(WORKDAY('Configuración'!$B$10-1,A10)&gt;EOMONTH('Configuración'!$B$10,0),WORKDAY('Configuración'!$B$10-1,A10)&gt;'Configuración'!$B$9),"",IF(WORKDAY('Configuración'!$B$10-1,A10)&lt;'Configuración'!$B$8,"",WORKDAY('Configuración'!$B$10-1,A10)))</x:f>
        <x:v>46328</x:v>
      </x:c>
      <x:c r="C10" s="2" t="str">
        <x:v>11:30–12:00</x:v>
      </x:c>
      <x:c r="D10" s="2" t="str">
        <x:v>Revisión de resultados y fuentes</x:v>
      </x:c>
      <x:c r="E10" s="10" t="str">
        <x:v>Por asignar</x:v>
      </x:c>
      <x:c r="F10" s="10" t="str"/>
      <x:c r="G10" s="10" t="str">
        <x:v>Pendiente</x:v>
      </x:c>
    </x:row>
    <x:row r="11" ht="24" customHeight="1">
      <x:c r="A11" s="2" t="n">
        <x:v>1</x:v>
      </x:c>
      <x:c r="B11" s="13" t="n">
        <x:f>IF(OR(WORKDAY('Configuración'!$B$10-1,A11)&gt;EOMONTH('Configuración'!$B$10,0),WORKDAY('Configuración'!$B$10-1,A11)&gt;'Configuración'!$B$9),"",IF(WORKDAY('Configuración'!$B$10-1,A11)&lt;'Configuración'!$B$8,"",WORKDAY('Configuración'!$B$10-1,A11)))</x:f>
        <x:v>46328</x:v>
      </x:c>
      <x:c r="C11" s="2" t="str">
        <x:v>14:00–15:00</x:v>
      </x:c>
      <x:c r="D11" s="2" t="str">
        <x:v>Clientes, propuestas y próximos contactos</x:v>
      </x:c>
      <x:c r="E11" s="10" t="str">
        <x:v>Por asignar</x:v>
      </x:c>
      <x:c r="F11" s="10" t="str"/>
      <x:c r="G11" s="10" t="str">
        <x:v>Pendiente</x:v>
      </x:c>
    </x:row>
    <x:row r="12" ht="24" customHeight="1">
      <x:c r="A12" s="2" t="n">
        <x:v>1</x:v>
      </x:c>
      <x:c r="B12" s="13" t="n">
        <x:f>IF(OR(WORKDAY('Configuración'!$B$10-1,A12)&gt;EOMONTH('Configuración'!$B$10,0),WORKDAY('Configuración'!$B$10-1,A12)&gt;'Configuración'!$B$9),"",IF(WORKDAY('Configuración'!$B$10-1,A12)&lt;'Configuración'!$B$8,"",WORKDAY('Configuración'!$B$10-1,A12)))</x:f>
        <x:v>46328</x:v>
      </x:c>
      <x:c r="C12" s="2" t="str">
        <x:v>15:00–16:00</x:v>
      </x:c>
      <x:c r="D12" s="2" t="str">
        <x:v>Entregas, proyectos y mejoras</x:v>
      </x:c>
      <x:c r="E12" s="10" t="str">
        <x:v>Por asignar</x:v>
      </x:c>
      <x:c r="F12" s="10" t="str"/>
      <x:c r="G12" s="10" t="str">
        <x:v>Pendiente</x:v>
      </x:c>
    </x:row>
    <x:row r="13" ht="24" customHeight="1">
      <x:c r="A13" s="2" t="n">
        <x:v>1</x:v>
      </x:c>
      <x:c r="B13" s="13" t="n">
        <x:f>IF(OR(WORKDAY('Configuración'!$B$10-1,A13)&gt;EOMONTH('Configuración'!$B$10,0),WORKDAY('Configuración'!$B$10-1,A13)&gt;'Configuración'!$B$9),"",IF(WORKDAY('Configuración'!$B$10-1,A13)&lt;'Configuración'!$B$8,"",WORKDAY('Configuración'!$B$10-1,A13)))</x:f>
        <x:v>46328</x:v>
      </x:c>
      <x:c r="C13" s="2" t="str">
        <x:v>16:00–16:30</x:v>
      </x:c>
      <x:c r="D13" s="2" t="str">
        <x:v>Cierre, pendientes y copia de trabajo</x:v>
      </x:c>
      <x:c r="E13" s="10" t="str">
        <x:v>Por asignar</x:v>
      </x:c>
      <x:c r="F13" s="10" t="str"/>
      <x:c r="G13" s="10" t="str">
        <x:v>Pendiente</x:v>
      </x:c>
    </x:row>
    <x:row r="14" ht="24" customHeight="1">
      <x:c r="A14" s="2" t="n">
        <x:v>2</x:v>
      </x:c>
      <x:c r="B14" s="13" t="n">
        <x:f>IF(OR(WORKDAY('Configuración'!$B$10-1,A14)&gt;EOMONTH('Configuración'!$B$10,0),WORKDAY('Configuración'!$B$10-1,A14)&gt;'Configuración'!$B$9),"",IF(WORKDAY('Configuración'!$B$10-1,A14)&lt;'Configuración'!$B$8,"",WORKDAY('Configuración'!$B$10-1,A14)))</x:f>
        <x:v>46329</x:v>
      </x:c>
      <x:c r="C14" s="2" t="str">
        <x:v>08:30–09:00</x:v>
      </x:c>
      <x:c r="D14" s="2" t="str">
        <x:v>Pedidos, fuentes, vencimientos y prioridades</x:v>
      </x:c>
      <x:c r="E14" s="10" t="str">
        <x:v>Por asignar</x:v>
      </x:c>
      <x:c r="F14" s="10" t="str"/>
      <x:c r="G14" s="10" t="str">
        <x:v>Pendiente</x:v>
      </x:c>
    </x:row>
    <x:row r="15" ht="24" customHeight="1">
      <x:c r="A15" s="2" t="n">
        <x:v>2</x:v>
      </x:c>
      <x:c r="B15" s="13" t="n">
        <x:f>IF(OR(WORKDAY('Configuración'!$B$10-1,A15)&gt;EOMONTH('Configuración'!$B$10,0),WORKDAY('Configuración'!$B$10-1,A15)&gt;'Configuración'!$B$9),"",IF(WORKDAY('Configuración'!$B$10-1,A15)&lt;'Configuración'!$B$8,"",WORKDAY('Configuración'!$B$10-1,A15)))</x:f>
        <x:v>46329</x:v>
      </x:c>
      <x:c r="C15" s="2" t="str">
        <x:v>09:00–11:30</x:v>
      </x:c>
      <x:c r="D15" s="2" t="str">
        <x:v>Servicios programados y controles diarios</x:v>
      </x:c>
      <x:c r="E15" s="10" t="str">
        <x:v>Por asignar</x:v>
      </x:c>
      <x:c r="F15" s="10" t="str"/>
      <x:c r="G15" s="10" t="str">
        <x:v>Pendiente</x:v>
      </x:c>
    </x:row>
    <x:row r="16" ht="24" customHeight="1">
      <x:c r="A16" s="2" t="n">
        <x:v>2</x:v>
      </x:c>
      <x:c r="B16" s="13" t="n">
        <x:f>IF(OR(WORKDAY('Configuración'!$B$10-1,A16)&gt;EOMONTH('Configuración'!$B$10,0),WORKDAY('Configuración'!$B$10-1,A16)&gt;'Configuración'!$B$9),"",IF(WORKDAY('Configuración'!$B$10-1,A16)&lt;'Configuración'!$B$8,"",WORKDAY('Configuración'!$B$10-1,A16)))</x:f>
        <x:v>46329</x:v>
      </x:c>
      <x:c r="C16" s="2" t="str">
        <x:v>11:30–12:00</x:v>
      </x:c>
      <x:c r="D16" s="2" t="str">
        <x:v>Revisión de resultados y fuentes</x:v>
      </x:c>
      <x:c r="E16" s="10" t="str">
        <x:v>Por asignar</x:v>
      </x:c>
      <x:c r="F16" s="10" t="str"/>
      <x:c r="G16" s="10" t="str">
        <x:v>Pendiente</x:v>
      </x:c>
    </x:row>
    <x:row r="17" ht="24" customHeight="1">
      <x:c r="A17" s="2" t="n">
        <x:v>2</x:v>
      </x:c>
      <x:c r="B17" s="13" t="n">
        <x:f>IF(OR(WORKDAY('Configuración'!$B$10-1,A17)&gt;EOMONTH('Configuración'!$B$10,0),WORKDAY('Configuración'!$B$10-1,A17)&gt;'Configuración'!$B$9),"",IF(WORKDAY('Configuración'!$B$10-1,A17)&lt;'Configuración'!$B$8,"",WORKDAY('Configuración'!$B$10-1,A17)))</x:f>
        <x:v>46329</x:v>
      </x:c>
      <x:c r="C17" s="2" t="str">
        <x:v>14:00–15:00</x:v>
      </x:c>
      <x:c r="D17" s="2" t="str">
        <x:v>Clientes, propuestas y próximos contactos</x:v>
      </x:c>
      <x:c r="E17" s="10" t="str">
        <x:v>Por asignar</x:v>
      </x:c>
      <x:c r="F17" s="10" t="str"/>
      <x:c r="G17" s="10" t="str">
        <x:v>Pendiente</x:v>
      </x:c>
    </x:row>
    <x:row r="18" ht="24" customHeight="1">
      <x:c r="A18" s="2" t="n">
        <x:v>2</x:v>
      </x:c>
      <x:c r="B18" s="13" t="n">
        <x:f>IF(OR(WORKDAY('Configuración'!$B$10-1,A18)&gt;EOMONTH('Configuración'!$B$10,0),WORKDAY('Configuración'!$B$10-1,A18)&gt;'Configuración'!$B$9),"",IF(WORKDAY('Configuración'!$B$10-1,A18)&lt;'Configuración'!$B$8,"",WORKDAY('Configuración'!$B$10-1,A18)))</x:f>
        <x:v>46329</x:v>
      </x:c>
      <x:c r="C18" s="2" t="str">
        <x:v>15:00–16:00</x:v>
      </x:c>
      <x:c r="D18" s="2" t="str">
        <x:v>Entregas, proyectos y mejoras</x:v>
      </x:c>
      <x:c r="E18" s="10" t="str">
        <x:v>Por asignar</x:v>
      </x:c>
      <x:c r="F18" s="10" t="str"/>
      <x:c r="G18" s="10" t="str">
        <x:v>Pendiente</x:v>
      </x:c>
    </x:row>
    <x:row r="19" ht="24" customHeight="1">
      <x:c r="A19" s="2" t="n">
        <x:v>2</x:v>
      </x:c>
      <x:c r="B19" s="13" t="n">
        <x:f>IF(OR(WORKDAY('Configuración'!$B$10-1,A19)&gt;EOMONTH('Configuración'!$B$10,0),WORKDAY('Configuración'!$B$10-1,A19)&gt;'Configuración'!$B$9),"",IF(WORKDAY('Configuración'!$B$10-1,A19)&lt;'Configuración'!$B$8,"",WORKDAY('Configuración'!$B$10-1,A19)))</x:f>
        <x:v>46329</x:v>
      </x:c>
      <x:c r="C19" s="2" t="str">
        <x:v>16:00–16:30</x:v>
      </x:c>
      <x:c r="D19" s="2" t="str">
        <x:v>Cierre, pendientes y copia de trabajo</x:v>
      </x:c>
      <x:c r="E19" s="10" t="str">
        <x:v>Por asignar</x:v>
      </x:c>
      <x:c r="F19" s="10" t="str"/>
      <x:c r="G19" s="10" t="str">
        <x:v>Pendiente</x:v>
      </x:c>
    </x:row>
    <x:row r="20" ht="24" customHeight="1">
      <x:c r="A20" s="2" t="n">
        <x:v>3</x:v>
      </x:c>
      <x:c r="B20" s="13" t="n">
        <x:f>IF(OR(WORKDAY('Configuración'!$B$10-1,A20)&gt;EOMONTH('Configuración'!$B$10,0),WORKDAY('Configuración'!$B$10-1,A20)&gt;'Configuración'!$B$9),"",IF(WORKDAY('Configuración'!$B$10-1,A20)&lt;'Configuración'!$B$8,"",WORKDAY('Configuración'!$B$10-1,A20)))</x:f>
        <x:v>46330</x:v>
      </x:c>
      <x:c r="C20" s="2" t="str">
        <x:v>08:30–09:00</x:v>
      </x:c>
      <x:c r="D20" s="2" t="str">
        <x:v>Pedidos, fuentes, vencimientos y prioridades</x:v>
      </x:c>
      <x:c r="E20" s="10" t="str">
        <x:v>Por asignar</x:v>
      </x:c>
      <x:c r="F20" s="10" t="str"/>
      <x:c r="G20" s="10" t="str">
        <x:v>Pendiente</x:v>
      </x:c>
    </x:row>
    <x:row r="21" ht="24" customHeight="1">
      <x:c r="A21" s="2" t="n">
        <x:v>3</x:v>
      </x:c>
      <x:c r="B21" s="13" t="n">
        <x:f>IF(OR(WORKDAY('Configuración'!$B$10-1,A21)&gt;EOMONTH('Configuración'!$B$10,0),WORKDAY('Configuración'!$B$10-1,A21)&gt;'Configuración'!$B$9),"",IF(WORKDAY('Configuración'!$B$10-1,A21)&lt;'Configuración'!$B$8,"",WORKDAY('Configuración'!$B$10-1,A21)))</x:f>
        <x:v>46330</x:v>
      </x:c>
      <x:c r="C21" s="2" t="str">
        <x:v>09:00–11:30</x:v>
      </x:c>
      <x:c r="D21" s="2" t="str">
        <x:v>Servicios programados y controles diarios</x:v>
      </x:c>
      <x:c r="E21" s="10" t="str">
        <x:v>Por asignar</x:v>
      </x:c>
      <x:c r="F21" s="10" t="str"/>
      <x:c r="G21" s="10" t="str">
        <x:v>Pendiente</x:v>
      </x:c>
    </x:row>
    <x:row r="22" ht="24" customHeight="1">
      <x:c r="A22" s="2" t="n">
        <x:v>3</x:v>
      </x:c>
      <x:c r="B22" s="13" t="n">
        <x:f>IF(OR(WORKDAY('Configuración'!$B$10-1,A22)&gt;EOMONTH('Configuración'!$B$10,0),WORKDAY('Configuración'!$B$10-1,A22)&gt;'Configuración'!$B$9),"",IF(WORKDAY('Configuración'!$B$10-1,A22)&lt;'Configuración'!$B$8,"",WORKDAY('Configuración'!$B$10-1,A22)))</x:f>
        <x:v>46330</x:v>
      </x:c>
      <x:c r="C22" s="2" t="str">
        <x:v>11:30–12:00</x:v>
      </x:c>
      <x:c r="D22" s="2" t="str">
        <x:v>Revisión de resultados y fuentes</x:v>
      </x:c>
      <x:c r="E22" s="10" t="str">
        <x:v>Por asignar</x:v>
      </x:c>
      <x:c r="F22" s="10" t="str"/>
      <x:c r="G22" s="10" t="str">
        <x:v>Pendiente</x:v>
      </x:c>
    </x:row>
    <x:row r="23" ht="24" customHeight="1">
      <x:c r="A23" s="2" t="n">
        <x:v>3</x:v>
      </x:c>
      <x:c r="B23" s="13" t="n">
        <x:f>IF(OR(WORKDAY('Configuración'!$B$10-1,A23)&gt;EOMONTH('Configuración'!$B$10,0),WORKDAY('Configuración'!$B$10-1,A23)&gt;'Configuración'!$B$9),"",IF(WORKDAY('Configuración'!$B$10-1,A23)&lt;'Configuración'!$B$8,"",WORKDAY('Configuración'!$B$10-1,A23)))</x:f>
        <x:v>46330</x:v>
      </x:c>
      <x:c r="C23" s="2" t="str">
        <x:v>14:00–15:00</x:v>
      </x:c>
      <x:c r="D23" s="2" t="str">
        <x:v>Clientes, propuestas y próximos contactos</x:v>
      </x:c>
      <x:c r="E23" s="10" t="str">
        <x:v>Por asignar</x:v>
      </x:c>
      <x:c r="F23" s="10" t="str"/>
      <x:c r="G23" s="10" t="str">
        <x:v>Pendiente</x:v>
      </x:c>
    </x:row>
    <x:row r="24" ht="24" customHeight="1">
      <x:c r="A24" s="2" t="n">
        <x:v>3</x:v>
      </x:c>
      <x:c r="B24" s="13" t="n">
        <x:f>IF(OR(WORKDAY('Configuración'!$B$10-1,A24)&gt;EOMONTH('Configuración'!$B$10,0),WORKDAY('Configuración'!$B$10-1,A24)&gt;'Configuración'!$B$9),"",IF(WORKDAY('Configuración'!$B$10-1,A24)&lt;'Configuración'!$B$8,"",WORKDAY('Configuración'!$B$10-1,A24)))</x:f>
        <x:v>46330</x:v>
      </x:c>
      <x:c r="C24" s="2" t="str">
        <x:v>15:00–16:00</x:v>
      </x:c>
      <x:c r="D24" s="2" t="str">
        <x:v>Entregas, proyectos y mejoras</x:v>
      </x:c>
      <x:c r="E24" s="10" t="str">
        <x:v>Por asignar</x:v>
      </x:c>
      <x:c r="F24" s="10" t="str"/>
      <x:c r="G24" s="10" t="str">
        <x:v>Pendiente</x:v>
      </x:c>
    </x:row>
    <x:row r="25" ht="24" customHeight="1">
      <x:c r="A25" s="2" t="n">
        <x:v>3</x:v>
      </x:c>
      <x:c r="B25" s="13" t="n">
        <x:f>IF(OR(WORKDAY('Configuración'!$B$10-1,A25)&gt;EOMONTH('Configuración'!$B$10,0),WORKDAY('Configuración'!$B$10-1,A25)&gt;'Configuración'!$B$9),"",IF(WORKDAY('Configuración'!$B$10-1,A25)&lt;'Configuración'!$B$8,"",WORKDAY('Configuración'!$B$10-1,A25)))</x:f>
        <x:v>46330</x:v>
      </x:c>
      <x:c r="C25" s="2" t="str">
        <x:v>16:00–16:30</x:v>
      </x:c>
      <x:c r="D25" s="2" t="str">
        <x:v>Cierre, pendientes y copia de trabajo</x:v>
      </x:c>
      <x:c r="E25" s="10" t="str">
        <x:v>Por asignar</x:v>
      </x:c>
      <x:c r="F25" s="10" t="str"/>
      <x:c r="G25" s="10" t="str">
        <x:v>Pendiente</x:v>
      </x:c>
    </x:row>
    <x:row r="26" ht="24" customHeight="1">
      <x:c r="A26" s="2" t="n">
        <x:v>4</x:v>
      </x:c>
      <x:c r="B26" s="13" t="n">
        <x:f>IF(OR(WORKDAY('Configuración'!$B$10-1,A26)&gt;EOMONTH('Configuración'!$B$10,0),WORKDAY('Configuración'!$B$10-1,A26)&gt;'Configuración'!$B$9),"",IF(WORKDAY('Configuración'!$B$10-1,A26)&lt;'Configuración'!$B$8,"",WORKDAY('Configuración'!$B$10-1,A26)))</x:f>
        <x:v>46331</x:v>
      </x:c>
      <x:c r="C26" s="2" t="str">
        <x:v>08:30–09:00</x:v>
      </x:c>
      <x:c r="D26" s="2" t="str">
        <x:v>Pedidos, fuentes, vencimientos y prioridades</x:v>
      </x:c>
      <x:c r="E26" s="10" t="str">
        <x:v>Por asignar</x:v>
      </x:c>
      <x:c r="F26" s="10" t="str"/>
      <x:c r="G26" s="10" t="str">
        <x:v>Pendiente</x:v>
      </x:c>
    </x:row>
    <x:row r="27" ht="24" customHeight="1">
      <x:c r="A27" s="2" t="n">
        <x:v>4</x:v>
      </x:c>
      <x:c r="B27" s="13" t="n">
        <x:f>IF(OR(WORKDAY('Configuración'!$B$10-1,A27)&gt;EOMONTH('Configuración'!$B$10,0),WORKDAY('Configuración'!$B$10-1,A27)&gt;'Configuración'!$B$9),"",IF(WORKDAY('Configuración'!$B$10-1,A27)&lt;'Configuración'!$B$8,"",WORKDAY('Configuración'!$B$10-1,A27)))</x:f>
        <x:v>46331</x:v>
      </x:c>
      <x:c r="C27" s="2" t="str">
        <x:v>09:00–11:30</x:v>
      </x:c>
      <x:c r="D27" s="2" t="str">
        <x:v>Servicios programados y controles diarios</x:v>
      </x:c>
      <x:c r="E27" s="10" t="str">
        <x:v>Por asignar</x:v>
      </x:c>
      <x:c r="F27" s="10" t="str"/>
      <x:c r="G27" s="10" t="str">
        <x:v>Pendiente</x:v>
      </x:c>
    </x:row>
    <x:row r="28" ht="24" customHeight="1">
      <x:c r="A28" s="2" t="n">
        <x:v>4</x:v>
      </x:c>
      <x:c r="B28" s="13" t="n">
        <x:f>IF(OR(WORKDAY('Configuración'!$B$10-1,A28)&gt;EOMONTH('Configuración'!$B$10,0),WORKDAY('Configuración'!$B$10-1,A28)&gt;'Configuración'!$B$9),"",IF(WORKDAY('Configuración'!$B$10-1,A28)&lt;'Configuración'!$B$8,"",WORKDAY('Configuración'!$B$10-1,A28)))</x:f>
        <x:v>46331</x:v>
      </x:c>
      <x:c r="C28" s="2" t="str">
        <x:v>11:30–12:00</x:v>
      </x:c>
      <x:c r="D28" s="2" t="str">
        <x:v>Revisión de resultados y fuentes</x:v>
      </x:c>
      <x:c r="E28" s="10" t="str">
        <x:v>Por asignar</x:v>
      </x:c>
      <x:c r="F28" s="10" t="str"/>
      <x:c r="G28" s="10" t="str">
        <x:v>Pendiente</x:v>
      </x:c>
    </x:row>
    <x:row r="29" ht="24" customHeight="1">
      <x:c r="A29" s="2" t="n">
        <x:v>4</x:v>
      </x:c>
      <x:c r="B29" s="13" t="n">
        <x:f>IF(OR(WORKDAY('Configuración'!$B$10-1,A29)&gt;EOMONTH('Configuración'!$B$10,0),WORKDAY('Configuración'!$B$10-1,A29)&gt;'Configuración'!$B$9),"",IF(WORKDAY('Configuración'!$B$10-1,A29)&lt;'Configuración'!$B$8,"",WORKDAY('Configuración'!$B$10-1,A29)))</x:f>
        <x:v>46331</x:v>
      </x:c>
      <x:c r="C29" s="2" t="str">
        <x:v>14:00–15:00</x:v>
      </x:c>
      <x:c r="D29" s="2" t="str">
        <x:v>Clientes, propuestas y próximos contactos</x:v>
      </x:c>
      <x:c r="E29" s="10" t="str">
        <x:v>Por asignar</x:v>
      </x:c>
      <x:c r="F29" s="10" t="str"/>
      <x:c r="G29" s="10" t="str">
        <x:v>Pendiente</x:v>
      </x:c>
    </x:row>
    <x:row r="30" ht="24" customHeight="1">
      <x:c r="A30" s="2" t="n">
        <x:v>4</x:v>
      </x:c>
      <x:c r="B30" s="13" t="n">
        <x:f>IF(OR(WORKDAY('Configuración'!$B$10-1,A30)&gt;EOMONTH('Configuración'!$B$10,0),WORKDAY('Configuración'!$B$10-1,A30)&gt;'Configuración'!$B$9),"",IF(WORKDAY('Configuración'!$B$10-1,A30)&lt;'Configuración'!$B$8,"",WORKDAY('Configuración'!$B$10-1,A30)))</x:f>
        <x:v>46331</x:v>
      </x:c>
      <x:c r="C30" s="2" t="str">
        <x:v>15:00–16:00</x:v>
      </x:c>
      <x:c r="D30" s="2" t="str">
        <x:v>Entregas, proyectos y mejoras</x:v>
      </x:c>
      <x:c r="E30" s="10" t="str">
        <x:v>Por asignar</x:v>
      </x:c>
      <x:c r="F30" s="10" t="str"/>
      <x:c r="G30" s="10" t="str">
        <x:v>Pendiente</x:v>
      </x:c>
    </x:row>
    <x:row r="31" ht="24" customHeight="1">
      <x:c r="A31" s="2" t="n">
        <x:v>4</x:v>
      </x:c>
      <x:c r="B31" s="13" t="n">
        <x:f>IF(OR(WORKDAY('Configuración'!$B$10-1,A31)&gt;EOMONTH('Configuración'!$B$10,0),WORKDAY('Configuración'!$B$10-1,A31)&gt;'Configuración'!$B$9),"",IF(WORKDAY('Configuración'!$B$10-1,A31)&lt;'Configuración'!$B$8,"",WORKDAY('Configuración'!$B$10-1,A31)))</x:f>
        <x:v>46331</x:v>
      </x:c>
      <x:c r="C31" s="2" t="str">
        <x:v>16:00–16:30</x:v>
      </x:c>
      <x:c r="D31" s="2" t="str">
        <x:v>Cierre, pendientes y copia de trabajo</x:v>
      </x:c>
      <x:c r="E31" s="10" t="str">
        <x:v>Por asignar</x:v>
      </x:c>
      <x:c r="F31" s="10" t="str"/>
      <x:c r="G31" s="10" t="str">
        <x:v>Pendiente</x:v>
      </x:c>
    </x:row>
    <x:row r="32" ht="24" customHeight="1">
      <x:c r="A32" s="2" t="n">
        <x:v>5</x:v>
      </x:c>
      <x:c r="B32" s="13" t="n">
        <x:f>IF(OR(WORKDAY('Configuración'!$B$10-1,A32)&gt;EOMONTH('Configuración'!$B$10,0),WORKDAY('Configuración'!$B$10-1,A32)&gt;'Configuración'!$B$9),"",IF(WORKDAY('Configuración'!$B$10-1,A32)&lt;'Configuración'!$B$8,"",WORKDAY('Configuración'!$B$10-1,A32)))</x:f>
        <x:v>46332</x:v>
      </x:c>
      <x:c r="C32" s="2" t="str">
        <x:v>08:30–09:00</x:v>
      </x:c>
      <x:c r="D32" s="2" t="str">
        <x:v>Pedidos, fuentes, vencimientos y prioridades</x:v>
      </x:c>
      <x:c r="E32" s="10" t="str">
        <x:v>Por asignar</x:v>
      </x:c>
      <x:c r="F32" s="10" t="str"/>
      <x:c r="G32" s="10" t="str">
        <x:v>Pendiente</x:v>
      </x:c>
    </x:row>
    <x:row r="33" ht="24" customHeight="1">
      <x:c r="A33" s="2" t="n">
        <x:v>5</x:v>
      </x:c>
      <x:c r="B33" s="13" t="n">
        <x:f>IF(OR(WORKDAY('Configuración'!$B$10-1,A33)&gt;EOMONTH('Configuración'!$B$10,0),WORKDAY('Configuración'!$B$10-1,A33)&gt;'Configuración'!$B$9),"",IF(WORKDAY('Configuración'!$B$10-1,A33)&lt;'Configuración'!$B$8,"",WORKDAY('Configuración'!$B$10-1,A33)))</x:f>
        <x:v>46332</x:v>
      </x:c>
      <x:c r="C33" s="2" t="str">
        <x:v>09:00–11:30</x:v>
      </x:c>
      <x:c r="D33" s="2" t="str">
        <x:v>Servicios programados y controles diarios</x:v>
      </x:c>
      <x:c r="E33" s="10" t="str">
        <x:v>Por asignar</x:v>
      </x:c>
      <x:c r="F33" s="10" t="str"/>
      <x:c r="G33" s="10" t="str">
        <x:v>Pendiente</x:v>
      </x:c>
    </x:row>
    <x:row r="34" ht="24" customHeight="1">
      <x:c r="A34" s="2" t="n">
        <x:v>5</x:v>
      </x:c>
      <x:c r="B34" s="13" t="n">
        <x:f>IF(OR(WORKDAY('Configuración'!$B$10-1,A34)&gt;EOMONTH('Configuración'!$B$10,0),WORKDAY('Configuración'!$B$10-1,A34)&gt;'Configuración'!$B$9),"",IF(WORKDAY('Configuración'!$B$10-1,A34)&lt;'Configuración'!$B$8,"",WORKDAY('Configuración'!$B$10-1,A34)))</x:f>
        <x:v>46332</x:v>
      </x:c>
      <x:c r="C34" s="2" t="str">
        <x:v>11:30–12:00</x:v>
      </x:c>
      <x:c r="D34" s="2" t="str">
        <x:v>Revisión de resultados y fuentes</x:v>
      </x:c>
      <x:c r="E34" s="10" t="str">
        <x:v>Por asignar</x:v>
      </x:c>
      <x:c r="F34" s="10" t="str"/>
      <x:c r="G34" s="10" t="str">
        <x:v>Pendiente</x:v>
      </x:c>
    </x:row>
    <x:row r="35" ht="24" customHeight="1">
      <x:c r="A35" s="2" t="n">
        <x:v>5</x:v>
      </x:c>
      <x:c r="B35" s="13" t="n">
        <x:f>IF(OR(WORKDAY('Configuración'!$B$10-1,A35)&gt;EOMONTH('Configuración'!$B$10,0),WORKDAY('Configuración'!$B$10-1,A35)&gt;'Configuración'!$B$9),"",IF(WORKDAY('Configuración'!$B$10-1,A35)&lt;'Configuración'!$B$8,"",WORKDAY('Configuración'!$B$10-1,A35)))</x:f>
        <x:v>46332</x:v>
      </x:c>
      <x:c r="C35" s="2" t="str">
        <x:v>14:00–15:00</x:v>
      </x:c>
      <x:c r="D35" s="2" t="str">
        <x:v>Clientes, propuestas y próximos contactos</x:v>
      </x:c>
      <x:c r="E35" s="10" t="str">
        <x:v>Por asignar</x:v>
      </x:c>
      <x:c r="F35" s="10" t="str"/>
      <x:c r="G35" s="10" t="str">
        <x:v>Pendiente</x:v>
      </x:c>
    </x:row>
    <x:row r="36" ht="24" customHeight="1">
      <x:c r="A36" s="2" t="n">
        <x:v>5</x:v>
      </x:c>
      <x:c r="B36" s="13" t="n">
        <x:f>IF(OR(WORKDAY('Configuración'!$B$10-1,A36)&gt;EOMONTH('Configuración'!$B$10,0),WORKDAY('Configuración'!$B$10-1,A36)&gt;'Configuración'!$B$9),"",IF(WORKDAY('Configuración'!$B$10-1,A36)&lt;'Configuración'!$B$8,"",WORKDAY('Configuración'!$B$10-1,A36)))</x:f>
        <x:v>46332</x:v>
      </x:c>
      <x:c r="C36" s="2" t="str">
        <x:v>15:00–16:00</x:v>
      </x:c>
      <x:c r="D36" s="2" t="str">
        <x:v>Entregas, proyectos y mejoras</x:v>
      </x:c>
      <x:c r="E36" s="10" t="str">
        <x:v>Por asignar</x:v>
      </x:c>
      <x:c r="F36" s="10" t="str"/>
      <x:c r="G36" s="10" t="str">
        <x:v>Pendiente</x:v>
      </x:c>
    </x:row>
    <x:row r="37" ht="24" customHeight="1">
      <x:c r="A37" s="2" t="n">
        <x:v>5</x:v>
      </x:c>
      <x:c r="B37" s="13" t="n">
        <x:f>IF(OR(WORKDAY('Configuración'!$B$10-1,A37)&gt;EOMONTH('Configuración'!$B$10,0),WORKDAY('Configuración'!$B$10-1,A37)&gt;'Configuración'!$B$9),"",IF(WORKDAY('Configuración'!$B$10-1,A37)&lt;'Configuración'!$B$8,"",WORKDAY('Configuración'!$B$10-1,A37)))</x:f>
        <x:v>46332</x:v>
      </x:c>
      <x:c r="C37" s="2" t="str">
        <x:v>16:00–16:30</x:v>
      </x:c>
      <x:c r="D37" s="2" t="str">
        <x:v>Cierre, pendientes y copia de trabajo</x:v>
      </x:c>
      <x:c r="E37" s="10" t="str">
        <x:v>Por asignar</x:v>
      </x:c>
      <x:c r="F37" s="10" t="str"/>
      <x:c r="G37" s="10" t="str">
        <x:v>Pendiente</x:v>
      </x:c>
    </x:row>
    <x:row r="38" ht="24" customHeight="1">
      <x:c r="A38" s="2" t="n">
        <x:v>6</x:v>
      </x:c>
      <x:c r="B38" s="13" t="n">
        <x:f>IF(OR(WORKDAY('Configuración'!$B$10-1,A38)&gt;EOMONTH('Configuración'!$B$10,0),WORKDAY('Configuración'!$B$10-1,A38)&gt;'Configuración'!$B$9),"",IF(WORKDAY('Configuración'!$B$10-1,A38)&lt;'Configuración'!$B$8,"",WORKDAY('Configuración'!$B$10-1,A38)))</x:f>
        <x:v>46335</x:v>
      </x:c>
      <x:c r="C38" s="2" t="str">
        <x:v>08:30–09:00</x:v>
      </x:c>
      <x:c r="D38" s="2" t="str">
        <x:v>Pedidos, fuentes, vencimientos y prioridades</x:v>
      </x:c>
      <x:c r="E38" s="10" t="str">
        <x:v>Por asignar</x:v>
      </x:c>
      <x:c r="F38" s="10" t="str"/>
      <x:c r="G38" s="10" t="str">
        <x:v>Pendiente</x:v>
      </x:c>
    </x:row>
    <x:row r="39" ht="24" customHeight="1">
      <x:c r="A39" s="2" t="n">
        <x:v>6</x:v>
      </x:c>
      <x:c r="B39" s="13" t="n">
        <x:f>IF(OR(WORKDAY('Configuración'!$B$10-1,A39)&gt;EOMONTH('Configuración'!$B$10,0),WORKDAY('Configuración'!$B$10-1,A39)&gt;'Configuración'!$B$9),"",IF(WORKDAY('Configuración'!$B$10-1,A39)&lt;'Configuración'!$B$8,"",WORKDAY('Configuración'!$B$10-1,A39)))</x:f>
        <x:v>46335</x:v>
      </x:c>
      <x:c r="C39" s="2" t="str">
        <x:v>09:00–11:30</x:v>
      </x:c>
      <x:c r="D39" s="2" t="str">
        <x:v>Servicios programados y controles diarios</x:v>
      </x:c>
      <x:c r="E39" s="10" t="str">
        <x:v>Por asignar</x:v>
      </x:c>
      <x:c r="F39" s="10" t="str"/>
      <x:c r="G39" s="10" t="str">
        <x:v>Pendiente</x:v>
      </x:c>
    </x:row>
    <x:row r="40" ht="24" customHeight="1">
      <x:c r="A40" s="2" t="n">
        <x:v>6</x:v>
      </x:c>
      <x:c r="B40" s="13" t="n">
        <x:f>IF(OR(WORKDAY('Configuración'!$B$10-1,A40)&gt;EOMONTH('Configuración'!$B$10,0),WORKDAY('Configuración'!$B$10-1,A40)&gt;'Configuración'!$B$9),"",IF(WORKDAY('Configuración'!$B$10-1,A40)&lt;'Configuración'!$B$8,"",WORKDAY('Configuración'!$B$10-1,A40)))</x:f>
        <x:v>46335</x:v>
      </x:c>
      <x:c r="C40" s="2" t="str">
        <x:v>11:30–12:00</x:v>
      </x:c>
      <x:c r="D40" s="2" t="str">
        <x:v>Revisión de resultados y fuentes</x:v>
      </x:c>
      <x:c r="E40" s="10" t="str">
        <x:v>Por asignar</x:v>
      </x:c>
      <x:c r="F40" s="10" t="str"/>
      <x:c r="G40" s="10" t="str">
        <x:v>Pendiente</x:v>
      </x:c>
    </x:row>
    <x:row r="41" ht="24" customHeight="1">
      <x:c r="A41" s="2" t="n">
        <x:v>6</x:v>
      </x:c>
      <x:c r="B41" s="13" t="n">
        <x:f>IF(OR(WORKDAY('Configuración'!$B$10-1,A41)&gt;EOMONTH('Configuración'!$B$10,0),WORKDAY('Configuración'!$B$10-1,A41)&gt;'Configuración'!$B$9),"",IF(WORKDAY('Configuración'!$B$10-1,A41)&lt;'Configuración'!$B$8,"",WORKDAY('Configuración'!$B$10-1,A41)))</x:f>
        <x:v>46335</x:v>
      </x:c>
      <x:c r="C41" s="2" t="str">
        <x:v>14:00–15:00</x:v>
      </x:c>
      <x:c r="D41" s="2" t="str">
        <x:v>Clientes, propuestas y próximos contactos</x:v>
      </x:c>
      <x:c r="E41" s="10" t="str">
        <x:v>Por asignar</x:v>
      </x:c>
      <x:c r="F41" s="10" t="str"/>
      <x:c r="G41" s="10" t="str">
        <x:v>Pendiente</x:v>
      </x:c>
    </x:row>
    <x:row r="42" ht="24" customHeight="1">
      <x:c r="A42" s="2" t="n">
        <x:v>6</x:v>
      </x:c>
      <x:c r="B42" s="13" t="n">
        <x:f>IF(OR(WORKDAY('Configuración'!$B$10-1,A42)&gt;EOMONTH('Configuración'!$B$10,0),WORKDAY('Configuración'!$B$10-1,A42)&gt;'Configuración'!$B$9),"",IF(WORKDAY('Configuración'!$B$10-1,A42)&lt;'Configuración'!$B$8,"",WORKDAY('Configuración'!$B$10-1,A42)))</x:f>
        <x:v>46335</x:v>
      </x:c>
      <x:c r="C42" s="2" t="str">
        <x:v>15:00–16:00</x:v>
      </x:c>
      <x:c r="D42" s="2" t="str">
        <x:v>Entregas, proyectos y mejoras</x:v>
      </x:c>
      <x:c r="E42" s="10" t="str">
        <x:v>Por asignar</x:v>
      </x:c>
      <x:c r="F42" s="10" t="str"/>
      <x:c r="G42" s="10" t="str">
        <x:v>Pendiente</x:v>
      </x:c>
    </x:row>
    <x:row r="43" ht="24" customHeight="1">
      <x:c r="A43" s="2" t="n">
        <x:v>6</x:v>
      </x:c>
      <x:c r="B43" s="13" t="n">
        <x:f>IF(OR(WORKDAY('Configuración'!$B$10-1,A43)&gt;EOMONTH('Configuración'!$B$10,0),WORKDAY('Configuración'!$B$10-1,A43)&gt;'Configuración'!$B$9),"",IF(WORKDAY('Configuración'!$B$10-1,A43)&lt;'Configuración'!$B$8,"",WORKDAY('Configuración'!$B$10-1,A43)))</x:f>
        <x:v>46335</x:v>
      </x:c>
      <x:c r="C43" s="2" t="str">
        <x:v>16:00–16:30</x:v>
      </x:c>
      <x:c r="D43" s="2" t="str">
        <x:v>Cierre, pendientes y copia de trabajo</x:v>
      </x:c>
      <x:c r="E43" s="10" t="str">
        <x:v>Por asignar</x:v>
      </x:c>
      <x:c r="F43" s="10" t="str"/>
      <x:c r="G43" s="10" t="str">
        <x:v>Pendiente</x:v>
      </x:c>
    </x:row>
    <x:row r="44" ht="24" customHeight="1">
      <x:c r="A44" s="2" t="n">
        <x:v>7</x:v>
      </x:c>
      <x:c r="B44" s="13" t="n">
        <x:f>IF(OR(WORKDAY('Configuración'!$B$10-1,A44)&gt;EOMONTH('Configuración'!$B$10,0),WORKDAY('Configuración'!$B$10-1,A44)&gt;'Configuración'!$B$9),"",IF(WORKDAY('Configuración'!$B$10-1,A44)&lt;'Configuración'!$B$8,"",WORKDAY('Configuración'!$B$10-1,A44)))</x:f>
        <x:v>46336</x:v>
      </x:c>
      <x:c r="C44" s="2" t="str">
        <x:v>08:30–09:00</x:v>
      </x:c>
      <x:c r="D44" s="2" t="str">
        <x:v>Pedidos, fuentes, vencimientos y prioridades</x:v>
      </x:c>
      <x:c r="E44" s="10" t="str">
        <x:v>Por asignar</x:v>
      </x:c>
      <x:c r="F44" s="10" t="str"/>
      <x:c r="G44" s="10" t="str">
        <x:v>Pendiente</x:v>
      </x:c>
    </x:row>
    <x:row r="45" ht="24" customHeight="1">
      <x:c r="A45" s="2" t="n">
        <x:v>7</x:v>
      </x:c>
      <x:c r="B45" s="13" t="n">
        <x:f>IF(OR(WORKDAY('Configuración'!$B$10-1,A45)&gt;EOMONTH('Configuración'!$B$10,0),WORKDAY('Configuración'!$B$10-1,A45)&gt;'Configuración'!$B$9),"",IF(WORKDAY('Configuración'!$B$10-1,A45)&lt;'Configuración'!$B$8,"",WORKDAY('Configuración'!$B$10-1,A45)))</x:f>
        <x:v>46336</x:v>
      </x:c>
      <x:c r="C45" s="2" t="str">
        <x:v>09:00–11:30</x:v>
      </x:c>
      <x:c r="D45" s="2" t="str">
        <x:v>Servicios programados y controles diarios</x:v>
      </x:c>
      <x:c r="E45" s="10" t="str">
        <x:v>Por asignar</x:v>
      </x:c>
      <x:c r="F45" s="10" t="str"/>
      <x:c r="G45" s="10" t="str">
        <x:v>Pendiente</x:v>
      </x:c>
    </x:row>
    <x:row r="46" ht="24" customHeight="1">
      <x:c r="A46" s="2" t="n">
        <x:v>7</x:v>
      </x:c>
      <x:c r="B46" s="13" t="n">
        <x:f>IF(OR(WORKDAY('Configuración'!$B$10-1,A46)&gt;EOMONTH('Configuración'!$B$10,0),WORKDAY('Configuración'!$B$10-1,A46)&gt;'Configuración'!$B$9),"",IF(WORKDAY('Configuración'!$B$10-1,A46)&lt;'Configuración'!$B$8,"",WORKDAY('Configuración'!$B$10-1,A46)))</x:f>
        <x:v>46336</x:v>
      </x:c>
      <x:c r="C46" s="2" t="str">
        <x:v>11:30–12:00</x:v>
      </x:c>
      <x:c r="D46" s="2" t="str">
        <x:v>Revisión de resultados y fuentes</x:v>
      </x:c>
      <x:c r="E46" s="10" t="str">
        <x:v>Por asignar</x:v>
      </x:c>
      <x:c r="F46" s="10" t="str"/>
      <x:c r="G46" s="10" t="str">
        <x:v>Pendiente</x:v>
      </x:c>
    </x:row>
    <x:row r="47" ht="24" customHeight="1">
      <x:c r="A47" s="2" t="n">
        <x:v>7</x:v>
      </x:c>
      <x:c r="B47" s="13" t="n">
        <x:f>IF(OR(WORKDAY('Configuración'!$B$10-1,A47)&gt;EOMONTH('Configuración'!$B$10,0),WORKDAY('Configuración'!$B$10-1,A47)&gt;'Configuración'!$B$9),"",IF(WORKDAY('Configuración'!$B$10-1,A47)&lt;'Configuración'!$B$8,"",WORKDAY('Configuración'!$B$10-1,A47)))</x:f>
        <x:v>46336</x:v>
      </x:c>
      <x:c r="C47" s="2" t="str">
        <x:v>14:00–15:00</x:v>
      </x:c>
      <x:c r="D47" s="2" t="str">
        <x:v>Clientes, propuestas y próximos contactos</x:v>
      </x:c>
      <x:c r="E47" s="10" t="str">
        <x:v>Por asignar</x:v>
      </x:c>
      <x:c r="F47" s="10" t="str"/>
      <x:c r="G47" s="10" t="str">
        <x:v>Pendiente</x:v>
      </x:c>
    </x:row>
    <x:row r="48" ht="24" customHeight="1">
      <x:c r="A48" s="2" t="n">
        <x:v>7</x:v>
      </x:c>
      <x:c r="B48" s="13" t="n">
        <x:f>IF(OR(WORKDAY('Configuración'!$B$10-1,A48)&gt;EOMONTH('Configuración'!$B$10,0),WORKDAY('Configuración'!$B$10-1,A48)&gt;'Configuración'!$B$9),"",IF(WORKDAY('Configuración'!$B$10-1,A48)&lt;'Configuración'!$B$8,"",WORKDAY('Configuración'!$B$10-1,A48)))</x:f>
        <x:v>46336</x:v>
      </x:c>
      <x:c r="C48" s="2" t="str">
        <x:v>15:00–16:00</x:v>
      </x:c>
      <x:c r="D48" s="2" t="str">
        <x:v>Entregas, proyectos y mejoras</x:v>
      </x:c>
      <x:c r="E48" s="10" t="str">
        <x:v>Por asignar</x:v>
      </x:c>
      <x:c r="F48" s="10" t="str"/>
      <x:c r="G48" s="10" t="str">
        <x:v>Pendiente</x:v>
      </x:c>
    </x:row>
    <x:row r="49" ht="24" customHeight="1">
      <x:c r="A49" s="2" t="n">
        <x:v>7</x:v>
      </x:c>
      <x:c r="B49" s="13" t="n">
        <x:f>IF(OR(WORKDAY('Configuración'!$B$10-1,A49)&gt;EOMONTH('Configuración'!$B$10,0),WORKDAY('Configuración'!$B$10-1,A49)&gt;'Configuración'!$B$9),"",IF(WORKDAY('Configuración'!$B$10-1,A49)&lt;'Configuración'!$B$8,"",WORKDAY('Configuración'!$B$10-1,A49)))</x:f>
        <x:v>46336</x:v>
      </x:c>
      <x:c r="C49" s="2" t="str">
        <x:v>16:00–16:30</x:v>
      </x:c>
      <x:c r="D49" s="2" t="str">
        <x:v>Cierre, pendientes y copia de trabajo</x:v>
      </x:c>
      <x:c r="E49" s="10" t="str">
        <x:v>Por asignar</x:v>
      </x:c>
      <x:c r="F49" s="10" t="str"/>
      <x:c r="G49" s="10" t="str">
        <x:v>Pendiente</x:v>
      </x:c>
    </x:row>
    <x:row r="50" ht="24" customHeight="1">
      <x:c r="A50" s="2" t="n">
        <x:v>8</x:v>
      </x:c>
      <x:c r="B50" s="13" t="n">
        <x:f>IF(OR(WORKDAY('Configuración'!$B$10-1,A50)&gt;EOMONTH('Configuración'!$B$10,0),WORKDAY('Configuración'!$B$10-1,A50)&gt;'Configuración'!$B$9),"",IF(WORKDAY('Configuración'!$B$10-1,A50)&lt;'Configuración'!$B$8,"",WORKDAY('Configuración'!$B$10-1,A50)))</x:f>
        <x:v>46337</x:v>
      </x:c>
      <x:c r="C50" s="2" t="str">
        <x:v>08:30–09:00</x:v>
      </x:c>
      <x:c r="D50" s="2" t="str">
        <x:v>Pedidos, fuentes, vencimientos y prioridades</x:v>
      </x:c>
      <x:c r="E50" s="10" t="str">
        <x:v>Por asignar</x:v>
      </x:c>
      <x:c r="F50" s="10" t="str"/>
      <x:c r="G50" s="10" t="str">
        <x:v>Pendiente</x:v>
      </x:c>
    </x:row>
    <x:row r="51" ht="24" customHeight="1">
      <x:c r="A51" s="2" t="n">
        <x:v>8</x:v>
      </x:c>
      <x:c r="B51" s="13" t="n">
        <x:f>IF(OR(WORKDAY('Configuración'!$B$10-1,A51)&gt;EOMONTH('Configuración'!$B$10,0),WORKDAY('Configuración'!$B$10-1,A51)&gt;'Configuración'!$B$9),"",IF(WORKDAY('Configuración'!$B$10-1,A51)&lt;'Configuración'!$B$8,"",WORKDAY('Configuración'!$B$10-1,A51)))</x:f>
        <x:v>46337</x:v>
      </x:c>
      <x:c r="C51" s="2" t="str">
        <x:v>09:00–11:30</x:v>
      </x:c>
      <x:c r="D51" s="2" t="str">
        <x:v>Servicios programados y controles diarios</x:v>
      </x:c>
      <x:c r="E51" s="10" t="str">
        <x:v>Por asignar</x:v>
      </x:c>
      <x:c r="F51" s="10" t="str"/>
      <x:c r="G51" s="10" t="str">
        <x:v>Pendiente</x:v>
      </x:c>
    </x:row>
    <x:row r="52" ht="24" customHeight="1">
      <x:c r="A52" s="2" t="n">
        <x:v>8</x:v>
      </x:c>
      <x:c r="B52" s="13" t="n">
        <x:f>IF(OR(WORKDAY('Configuración'!$B$10-1,A52)&gt;EOMONTH('Configuración'!$B$10,0),WORKDAY('Configuración'!$B$10-1,A52)&gt;'Configuración'!$B$9),"",IF(WORKDAY('Configuración'!$B$10-1,A52)&lt;'Configuración'!$B$8,"",WORKDAY('Configuración'!$B$10-1,A52)))</x:f>
        <x:v>46337</x:v>
      </x:c>
      <x:c r="C52" s="2" t="str">
        <x:v>11:30–12:00</x:v>
      </x:c>
      <x:c r="D52" s="2" t="str">
        <x:v>Revisión de resultados y fuentes</x:v>
      </x:c>
      <x:c r="E52" s="10" t="str">
        <x:v>Por asignar</x:v>
      </x:c>
      <x:c r="F52" s="10" t="str"/>
      <x:c r="G52" s="10" t="str">
        <x:v>Pendiente</x:v>
      </x:c>
    </x:row>
    <x:row r="53" ht="24" customHeight="1">
      <x:c r="A53" s="2" t="n">
        <x:v>8</x:v>
      </x:c>
      <x:c r="B53" s="13" t="n">
        <x:f>IF(OR(WORKDAY('Configuración'!$B$10-1,A53)&gt;EOMONTH('Configuración'!$B$10,0),WORKDAY('Configuración'!$B$10-1,A53)&gt;'Configuración'!$B$9),"",IF(WORKDAY('Configuración'!$B$10-1,A53)&lt;'Configuración'!$B$8,"",WORKDAY('Configuración'!$B$10-1,A53)))</x:f>
        <x:v>46337</x:v>
      </x:c>
      <x:c r="C53" s="2" t="str">
        <x:v>14:00–15:00</x:v>
      </x:c>
      <x:c r="D53" s="2" t="str">
        <x:v>Clientes, propuestas y próximos contactos</x:v>
      </x:c>
      <x:c r="E53" s="10" t="str">
        <x:v>Por asignar</x:v>
      </x:c>
      <x:c r="F53" s="10" t="str"/>
      <x:c r="G53" s="10" t="str">
        <x:v>Pendiente</x:v>
      </x:c>
    </x:row>
    <x:row r="54" ht="24" customHeight="1">
      <x:c r="A54" s="2" t="n">
        <x:v>8</x:v>
      </x:c>
      <x:c r="B54" s="13" t="n">
        <x:f>IF(OR(WORKDAY('Configuración'!$B$10-1,A54)&gt;EOMONTH('Configuración'!$B$10,0),WORKDAY('Configuración'!$B$10-1,A54)&gt;'Configuración'!$B$9),"",IF(WORKDAY('Configuración'!$B$10-1,A54)&lt;'Configuración'!$B$8,"",WORKDAY('Configuración'!$B$10-1,A54)))</x:f>
        <x:v>46337</x:v>
      </x:c>
      <x:c r="C54" s="2" t="str">
        <x:v>15:00–16:00</x:v>
      </x:c>
      <x:c r="D54" s="2" t="str">
        <x:v>Entregas, proyectos y mejoras</x:v>
      </x:c>
      <x:c r="E54" s="10" t="str">
        <x:v>Por asignar</x:v>
      </x:c>
      <x:c r="F54" s="10" t="str"/>
      <x:c r="G54" s="10" t="str">
        <x:v>Pendiente</x:v>
      </x:c>
    </x:row>
    <x:row r="55" ht="24" customHeight="1">
      <x:c r="A55" s="2" t="n">
        <x:v>8</x:v>
      </x:c>
      <x:c r="B55" s="13" t="n">
        <x:f>IF(OR(WORKDAY('Configuración'!$B$10-1,A55)&gt;EOMONTH('Configuración'!$B$10,0),WORKDAY('Configuración'!$B$10-1,A55)&gt;'Configuración'!$B$9),"",IF(WORKDAY('Configuración'!$B$10-1,A55)&lt;'Configuración'!$B$8,"",WORKDAY('Configuración'!$B$10-1,A55)))</x:f>
        <x:v>46337</x:v>
      </x:c>
      <x:c r="C55" s="2" t="str">
        <x:v>16:00–16:30</x:v>
      </x:c>
      <x:c r="D55" s="2" t="str">
        <x:v>Cierre, pendientes y copia de trabajo</x:v>
      </x:c>
      <x:c r="E55" s="10" t="str">
        <x:v>Por asignar</x:v>
      </x:c>
      <x:c r="F55" s="10" t="str"/>
      <x:c r="G55" s="10" t="str">
        <x:v>Pendiente</x:v>
      </x:c>
    </x:row>
    <x:row r="56" ht="24" customHeight="1">
      <x:c r="A56" s="2" t="n">
        <x:v>9</x:v>
      </x:c>
      <x:c r="B56" s="13" t="n">
        <x:f>IF(OR(WORKDAY('Configuración'!$B$10-1,A56)&gt;EOMONTH('Configuración'!$B$10,0),WORKDAY('Configuración'!$B$10-1,A56)&gt;'Configuración'!$B$9),"",IF(WORKDAY('Configuración'!$B$10-1,A56)&lt;'Configuración'!$B$8,"",WORKDAY('Configuración'!$B$10-1,A56)))</x:f>
        <x:v>46338</x:v>
      </x:c>
      <x:c r="C56" s="2" t="str">
        <x:v>08:30–09:00</x:v>
      </x:c>
      <x:c r="D56" s="2" t="str">
        <x:v>Pedidos, fuentes, vencimientos y prioridades</x:v>
      </x:c>
      <x:c r="E56" s="10" t="str">
        <x:v>Por asignar</x:v>
      </x:c>
      <x:c r="F56" s="10" t="str"/>
      <x:c r="G56" s="10" t="str">
        <x:v>Pendiente</x:v>
      </x:c>
    </x:row>
    <x:row r="57" ht="24" customHeight="1">
      <x:c r="A57" s="2" t="n">
        <x:v>9</x:v>
      </x:c>
      <x:c r="B57" s="13" t="n">
        <x:f>IF(OR(WORKDAY('Configuración'!$B$10-1,A57)&gt;EOMONTH('Configuración'!$B$10,0),WORKDAY('Configuración'!$B$10-1,A57)&gt;'Configuración'!$B$9),"",IF(WORKDAY('Configuración'!$B$10-1,A57)&lt;'Configuración'!$B$8,"",WORKDAY('Configuración'!$B$10-1,A57)))</x:f>
        <x:v>46338</x:v>
      </x:c>
      <x:c r="C57" s="2" t="str">
        <x:v>09:00–11:30</x:v>
      </x:c>
      <x:c r="D57" s="2" t="str">
        <x:v>Servicios programados y controles diarios</x:v>
      </x:c>
      <x:c r="E57" s="10" t="str">
        <x:v>Por asignar</x:v>
      </x:c>
      <x:c r="F57" s="10" t="str"/>
      <x:c r="G57" s="10" t="str">
        <x:v>Pendiente</x:v>
      </x:c>
    </x:row>
    <x:row r="58" ht="24" customHeight="1">
      <x:c r="A58" s="2" t="n">
        <x:v>9</x:v>
      </x:c>
      <x:c r="B58" s="13" t="n">
        <x:f>IF(OR(WORKDAY('Configuración'!$B$10-1,A58)&gt;EOMONTH('Configuración'!$B$10,0),WORKDAY('Configuración'!$B$10-1,A58)&gt;'Configuración'!$B$9),"",IF(WORKDAY('Configuración'!$B$10-1,A58)&lt;'Configuración'!$B$8,"",WORKDAY('Configuración'!$B$10-1,A58)))</x:f>
        <x:v>46338</x:v>
      </x:c>
      <x:c r="C58" s="2" t="str">
        <x:v>11:30–12:00</x:v>
      </x:c>
      <x:c r="D58" s="2" t="str">
        <x:v>Revisión de resultados y fuentes</x:v>
      </x:c>
      <x:c r="E58" s="10" t="str">
        <x:v>Por asignar</x:v>
      </x:c>
      <x:c r="F58" s="10" t="str"/>
      <x:c r="G58" s="10" t="str">
        <x:v>Pendiente</x:v>
      </x:c>
    </x:row>
    <x:row r="59" ht="24" customHeight="1">
      <x:c r="A59" s="2" t="n">
        <x:v>9</x:v>
      </x:c>
      <x:c r="B59" s="13" t="n">
        <x:f>IF(OR(WORKDAY('Configuración'!$B$10-1,A59)&gt;EOMONTH('Configuración'!$B$10,0),WORKDAY('Configuración'!$B$10-1,A59)&gt;'Configuración'!$B$9),"",IF(WORKDAY('Configuración'!$B$10-1,A59)&lt;'Configuración'!$B$8,"",WORKDAY('Configuración'!$B$10-1,A59)))</x:f>
        <x:v>46338</x:v>
      </x:c>
      <x:c r="C59" s="2" t="str">
        <x:v>14:00–15:00</x:v>
      </x:c>
      <x:c r="D59" s="2" t="str">
        <x:v>Clientes, propuestas y próximos contactos</x:v>
      </x:c>
      <x:c r="E59" s="10" t="str">
        <x:v>Por asignar</x:v>
      </x:c>
      <x:c r="F59" s="10" t="str"/>
      <x:c r="G59" s="10" t="str">
        <x:v>Pendiente</x:v>
      </x:c>
    </x:row>
    <x:row r="60" ht="24" customHeight="1">
      <x:c r="A60" s="2" t="n">
        <x:v>9</x:v>
      </x:c>
      <x:c r="B60" s="13" t="n">
        <x:f>IF(OR(WORKDAY('Configuración'!$B$10-1,A60)&gt;EOMONTH('Configuración'!$B$10,0),WORKDAY('Configuración'!$B$10-1,A60)&gt;'Configuración'!$B$9),"",IF(WORKDAY('Configuración'!$B$10-1,A60)&lt;'Configuración'!$B$8,"",WORKDAY('Configuración'!$B$10-1,A60)))</x:f>
        <x:v>46338</x:v>
      </x:c>
      <x:c r="C60" s="2" t="str">
        <x:v>15:00–16:00</x:v>
      </x:c>
      <x:c r="D60" s="2" t="str">
        <x:v>Entregas, proyectos y mejoras</x:v>
      </x:c>
      <x:c r="E60" s="10" t="str">
        <x:v>Por asignar</x:v>
      </x:c>
      <x:c r="F60" s="10" t="str"/>
      <x:c r="G60" s="10" t="str">
        <x:v>Pendiente</x:v>
      </x:c>
    </x:row>
    <x:row r="61" ht="24" customHeight="1">
      <x:c r="A61" s="2" t="n">
        <x:v>9</x:v>
      </x:c>
      <x:c r="B61" s="13" t="n">
        <x:f>IF(OR(WORKDAY('Configuración'!$B$10-1,A61)&gt;EOMONTH('Configuración'!$B$10,0),WORKDAY('Configuración'!$B$10-1,A61)&gt;'Configuración'!$B$9),"",IF(WORKDAY('Configuración'!$B$10-1,A61)&lt;'Configuración'!$B$8,"",WORKDAY('Configuración'!$B$10-1,A61)))</x:f>
        <x:v>46338</x:v>
      </x:c>
      <x:c r="C61" s="2" t="str">
        <x:v>16:00–16:30</x:v>
      </x:c>
      <x:c r="D61" s="2" t="str">
        <x:v>Cierre, pendientes y copia de trabajo</x:v>
      </x:c>
      <x:c r="E61" s="10" t="str">
        <x:v>Por asignar</x:v>
      </x:c>
      <x:c r="F61" s="10" t="str"/>
      <x:c r="G61" s="10" t="str">
        <x:v>Pendiente</x:v>
      </x:c>
    </x:row>
    <x:row r="62" ht="24" customHeight="1">
      <x:c r="A62" s="2" t="n">
        <x:v>10</x:v>
      </x:c>
      <x:c r="B62" s="13" t="n">
        <x:f>IF(OR(WORKDAY('Configuración'!$B$10-1,A62)&gt;EOMONTH('Configuración'!$B$10,0),WORKDAY('Configuración'!$B$10-1,A62)&gt;'Configuración'!$B$9),"",IF(WORKDAY('Configuración'!$B$10-1,A62)&lt;'Configuración'!$B$8,"",WORKDAY('Configuración'!$B$10-1,A62)))</x:f>
        <x:v>46339</x:v>
      </x:c>
      <x:c r="C62" s="2" t="str">
        <x:v>08:30–09:00</x:v>
      </x:c>
      <x:c r="D62" s="2" t="str">
        <x:v>Pedidos, fuentes, vencimientos y prioridades</x:v>
      </x:c>
      <x:c r="E62" s="10" t="str">
        <x:v>Por asignar</x:v>
      </x:c>
      <x:c r="F62" s="10" t="str"/>
      <x:c r="G62" s="10" t="str">
        <x:v>Pendiente</x:v>
      </x:c>
    </x:row>
    <x:row r="63" ht="24" customHeight="1">
      <x:c r="A63" s="2" t="n">
        <x:v>10</x:v>
      </x:c>
      <x:c r="B63" s="13" t="n">
        <x:f>IF(OR(WORKDAY('Configuración'!$B$10-1,A63)&gt;EOMONTH('Configuración'!$B$10,0),WORKDAY('Configuración'!$B$10-1,A63)&gt;'Configuración'!$B$9),"",IF(WORKDAY('Configuración'!$B$10-1,A63)&lt;'Configuración'!$B$8,"",WORKDAY('Configuración'!$B$10-1,A63)))</x:f>
        <x:v>46339</x:v>
      </x:c>
      <x:c r="C63" s="2" t="str">
        <x:v>09:00–11:30</x:v>
      </x:c>
      <x:c r="D63" s="2" t="str">
        <x:v>Servicios programados y controles diarios</x:v>
      </x:c>
      <x:c r="E63" s="10" t="str">
        <x:v>Por asignar</x:v>
      </x:c>
      <x:c r="F63" s="10" t="str"/>
      <x:c r="G63" s="10" t="str">
        <x:v>Pendiente</x:v>
      </x:c>
    </x:row>
    <x:row r="64" ht="24" customHeight="1">
      <x:c r="A64" s="2" t="n">
        <x:v>10</x:v>
      </x:c>
      <x:c r="B64" s="13" t="n">
        <x:f>IF(OR(WORKDAY('Configuración'!$B$10-1,A64)&gt;EOMONTH('Configuración'!$B$10,0),WORKDAY('Configuración'!$B$10-1,A64)&gt;'Configuración'!$B$9),"",IF(WORKDAY('Configuración'!$B$10-1,A64)&lt;'Configuración'!$B$8,"",WORKDAY('Configuración'!$B$10-1,A64)))</x:f>
        <x:v>46339</x:v>
      </x:c>
      <x:c r="C64" s="2" t="str">
        <x:v>11:30–12:00</x:v>
      </x:c>
      <x:c r="D64" s="2" t="str">
        <x:v>Revisión de resultados y fuentes</x:v>
      </x:c>
      <x:c r="E64" s="10" t="str">
        <x:v>Por asignar</x:v>
      </x:c>
      <x:c r="F64" s="10" t="str"/>
      <x:c r="G64" s="10" t="str">
        <x:v>Pendiente</x:v>
      </x:c>
    </x:row>
    <x:row r="65" ht="24" customHeight="1">
      <x:c r="A65" s="2" t="n">
        <x:v>10</x:v>
      </x:c>
      <x:c r="B65" s="13" t="n">
        <x:f>IF(OR(WORKDAY('Configuración'!$B$10-1,A65)&gt;EOMONTH('Configuración'!$B$10,0),WORKDAY('Configuración'!$B$10-1,A65)&gt;'Configuración'!$B$9),"",IF(WORKDAY('Configuración'!$B$10-1,A65)&lt;'Configuración'!$B$8,"",WORKDAY('Configuración'!$B$10-1,A65)))</x:f>
        <x:v>46339</x:v>
      </x:c>
      <x:c r="C65" s="2" t="str">
        <x:v>14:00–15:00</x:v>
      </x:c>
      <x:c r="D65" s="2" t="str">
        <x:v>Clientes, propuestas y próximos contactos</x:v>
      </x:c>
      <x:c r="E65" s="10" t="str">
        <x:v>Por asignar</x:v>
      </x:c>
      <x:c r="F65" s="10" t="str"/>
      <x:c r="G65" s="10" t="str">
        <x:v>Pendiente</x:v>
      </x:c>
    </x:row>
    <x:row r="66" ht="24" customHeight="1">
      <x:c r="A66" s="2" t="n">
        <x:v>10</x:v>
      </x:c>
      <x:c r="B66" s="13" t="n">
        <x:f>IF(OR(WORKDAY('Configuración'!$B$10-1,A66)&gt;EOMONTH('Configuración'!$B$10,0),WORKDAY('Configuración'!$B$10-1,A66)&gt;'Configuración'!$B$9),"",IF(WORKDAY('Configuración'!$B$10-1,A66)&lt;'Configuración'!$B$8,"",WORKDAY('Configuración'!$B$10-1,A66)))</x:f>
        <x:v>46339</x:v>
      </x:c>
      <x:c r="C66" s="2" t="str">
        <x:v>15:00–16:00</x:v>
      </x:c>
      <x:c r="D66" s="2" t="str">
        <x:v>Entregas, proyectos y mejoras</x:v>
      </x:c>
      <x:c r="E66" s="10" t="str">
        <x:v>Por asignar</x:v>
      </x:c>
      <x:c r="F66" s="10" t="str"/>
      <x:c r="G66" s="10" t="str">
        <x:v>Pendiente</x:v>
      </x:c>
    </x:row>
    <x:row r="67" ht="24" customHeight="1">
      <x:c r="A67" s="2" t="n">
        <x:v>10</x:v>
      </x:c>
      <x:c r="B67" s="13" t="n">
        <x:f>IF(OR(WORKDAY('Configuración'!$B$10-1,A67)&gt;EOMONTH('Configuración'!$B$10,0),WORKDAY('Configuración'!$B$10-1,A67)&gt;'Configuración'!$B$9),"",IF(WORKDAY('Configuración'!$B$10-1,A67)&lt;'Configuración'!$B$8,"",WORKDAY('Configuración'!$B$10-1,A67)))</x:f>
        <x:v>46339</x:v>
      </x:c>
      <x:c r="C67" s="2" t="str">
        <x:v>16:00–16:30</x:v>
      </x:c>
      <x:c r="D67" s="2" t="str">
        <x:v>Cierre, pendientes y copia de trabajo</x:v>
      </x:c>
      <x:c r="E67" s="10" t="str">
        <x:v>Por asignar</x:v>
      </x:c>
      <x:c r="F67" s="10" t="str"/>
      <x:c r="G67" s="10" t="str">
        <x:v>Pendiente</x:v>
      </x:c>
    </x:row>
    <x:row r="68" ht="24" customHeight="1">
      <x:c r="A68" s="2" t="n">
        <x:v>11</x:v>
      </x:c>
      <x:c r="B68" s="13" t="n">
        <x:f>IF(OR(WORKDAY('Configuración'!$B$10-1,A68)&gt;EOMONTH('Configuración'!$B$10,0),WORKDAY('Configuración'!$B$10-1,A68)&gt;'Configuración'!$B$9),"",IF(WORKDAY('Configuración'!$B$10-1,A68)&lt;'Configuración'!$B$8,"",WORKDAY('Configuración'!$B$10-1,A68)))</x:f>
        <x:v>46342</x:v>
      </x:c>
      <x:c r="C68" s="2" t="str">
        <x:v>08:30–09:00</x:v>
      </x:c>
      <x:c r="D68" s="2" t="str">
        <x:v>Pedidos, fuentes, vencimientos y prioridades</x:v>
      </x:c>
      <x:c r="E68" s="10" t="str">
        <x:v>Por asignar</x:v>
      </x:c>
      <x:c r="F68" s="10" t="str"/>
      <x:c r="G68" s="10" t="str">
        <x:v>Pendiente</x:v>
      </x:c>
    </x:row>
    <x:row r="69" ht="24" customHeight="1">
      <x:c r="A69" s="2" t="n">
        <x:v>11</x:v>
      </x:c>
      <x:c r="B69" s="13" t="n">
        <x:f>IF(OR(WORKDAY('Configuración'!$B$10-1,A69)&gt;EOMONTH('Configuración'!$B$10,0),WORKDAY('Configuración'!$B$10-1,A69)&gt;'Configuración'!$B$9),"",IF(WORKDAY('Configuración'!$B$10-1,A69)&lt;'Configuración'!$B$8,"",WORKDAY('Configuración'!$B$10-1,A69)))</x:f>
        <x:v>46342</x:v>
      </x:c>
      <x:c r="C69" s="2" t="str">
        <x:v>09:00–11:30</x:v>
      </x:c>
      <x:c r="D69" s="2" t="str">
        <x:v>Servicios programados y controles diarios</x:v>
      </x:c>
      <x:c r="E69" s="10" t="str">
        <x:v>Por asignar</x:v>
      </x:c>
      <x:c r="F69" s="10" t="str"/>
      <x:c r="G69" s="10" t="str">
        <x:v>Pendiente</x:v>
      </x:c>
    </x:row>
    <x:row r="70" ht="24" customHeight="1">
      <x:c r="A70" s="2" t="n">
        <x:v>11</x:v>
      </x:c>
      <x:c r="B70" s="13" t="n">
        <x:f>IF(OR(WORKDAY('Configuración'!$B$10-1,A70)&gt;EOMONTH('Configuración'!$B$10,0),WORKDAY('Configuración'!$B$10-1,A70)&gt;'Configuración'!$B$9),"",IF(WORKDAY('Configuración'!$B$10-1,A70)&lt;'Configuración'!$B$8,"",WORKDAY('Configuración'!$B$10-1,A70)))</x:f>
        <x:v>46342</x:v>
      </x:c>
      <x:c r="C70" s="2" t="str">
        <x:v>11:30–12:00</x:v>
      </x:c>
      <x:c r="D70" s="2" t="str">
        <x:v>Revisión de resultados y fuentes</x:v>
      </x:c>
      <x:c r="E70" s="10" t="str">
        <x:v>Por asignar</x:v>
      </x:c>
      <x:c r="F70" s="10" t="str"/>
      <x:c r="G70" s="10" t="str">
        <x:v>Pendiente</x:v>
      </x:c>
    </x:row>
    <x:row r="71" ht="24" customHeight="1">
      <x:c r="A71" s="2" t="n">
        <x:v>11</x:v>
      </x:c>
      <x:c r="B71" s="13" t="n">
        <x:f>IF(OR(WORKDAY('Configuración'!$B$10-1,A71)&gt;EOMONTH('Configuración'!$B$10,0),WORKDAY('Configuración'!$B$10-1,A71)&gt;'Configuración'!$B$9),"",IF(WORKDAY('Configuración'!$B$10-1,A71)&lt;'Configuración'!$B$8,"",WORKDAY('Configuración'!$B$10-1,A71)))</x:f>
        <x:v>46342</x:v>
      </x:c>
      <x:c r="C71" s="2" t="str">
        <x:v>14:00–15:00</x:v>
      </x:c>
      <x:c r="D71" s="2" t="str">
        <x:v>Clientes, propuestas y próximos contactos</x:v>
      </x:c>
      <x:c r="E71" s="10" t="str">
        <x:v>Por asignar</x:v>
      </x:c>
      <x:c r="F71" s="10" t="str"/>
      <x:c r="G71" s="10" t="str">
        <x:v>Pendiente</x:v>
      </x:c>
    </x:row>
    <x:row r="72" ht="24" customHeight="1">
      <x:c r="A72" s="2" t="n">
        <x:v>11</x:v>
      </x:c>
      <x:c r="B72" s="13" t="n">
        <x:f>IF(OR(WORKDAY('Configuración'!$B$10-1,A72)&gt;EOMONTH('Configuración'!$B$10,0),WORKDAY('Configuración'!$B$10-1,A72)&gt;'Configuración'!$B$9),"",IF(WORKDAY('Configuración'!$B$10-1,A72)&lt;'Configuración'!$B$8,"",WORKDAY('Configuración'!$B$10-1,A72)))</x:f>
        <x:v>46342</x:v>
      </x:c>
      <x:c r="C72" s="2" t="str">
        <x:v>15:00–16:00</x:v>
      </x:c>
      <x:c r="D72" s="2" t="str">
        <x:v>Entregas, proyectos y mejoras</x:v>
      </x:c>
      <x:c r="E72" s="10" t="str">
        <x:v>Por asignar</x:v>
      </x:c>
      <x:c r="F72" s="10" t="str"/>
      <x:c r="G72" s="10" t="str">
        <x:v>Pendiente</x:v>
      </x:c>
    </x:row>
    <x:row r="73" ht="24" customHeight="1">
      <x:c r="A73" s="2" t="n">
        <x:v>11</x:v>
      </x:c>
      <x:c r="B73" s="13" t="n">
        <x:f>IF(OR(WORKDAY('Configuración'!$B$10-1,A73)&gt;EOMONTH('Configuración'!$B$10,0),WORKDAY('Configuración'!$B$10-1,A73)&gt;'Configuración'!$B$9),"",IF(WORKDAY('Configuración'!$B$10-1,A73)&lt;'Configuración'!$B$8,"",WORKDAY('Configuración'!$B$10-1,A73)))</x:f>
        <x:v>46342</x:v>
      </x:c>
      <x:c r="C73" s="2" t="str">
        <x:v>16:00–16:30</x:v>
      </x:c>
      <x:c r="D73" s="2" t="str">
        <x:v>Cierre, pendientes y copia de trabajo</x:v>
      </x:c>
      <x:c r="E73" s="10" t="str">
        <x:v>Por asignar</x:v>
      </x:c>
      <x:c r="F73" s="10" t="str"/>
      <x:c r="G73" s="10" t="str">
        <x:v>Pendiente</x:v>
      </x:c>
    </x:row>
    <x:row r="74" ht="24" customHeight="1">
      <x:c r="A74" s="2" t="n">
        <x:v>12</x:v>
      </x:c>
      <x:c r="B74" s="13" t="n">
        <x:f>IF(OR(WORKDAY('Configuración'!$B$10-1,A74)&gt;EOMONTH('Configuración'!$B$10,0),WORKDAY('Configuración'!$B$10-1,A74)&gt;'Configuración'!$B$9),"",IF(WORKDAY('Configuración'!$B$10-1,A74)&lt;'Configuración'!$B$8,"",WORKDAY('Configuración'!$B$10-1,A74)))</x:f>
        <x:v>46343</x:v>
      </x:c>
      <x:c r="C74" s="2" t="str">
        <x:v>08:30–09:00</x:v>
      </x:c>
      <x:c r="D74" s="2" t="str">
        <x:v>Pedidos, fuentes, vencimientos y prioridades</x:v>
      </x:c>
      <x:c r="E74" s="10" t="str">
        <x:v>Por asignar</x:v>
      </x:c>
      <x:c r="F74" s="10" t="str"/>
      <x:c r="G74" s="10" t="str">
        <x:v>Pendiente</x:v>
      </x:c>
    </x:row>
    <x:row r="75" ht="24" customHeight="1">
      <x:c r="A75" s="2" t="n">
        <x:v>12</x:v>
      </x:c>
      <x:c r="B75" s="13" t="n">
        <x:f>IF(OR(WORKDAY('Configuración'!$B$10-1,A75)&gt;EOMONTH('Configuración'!$B$10,0),WORKDAY('Configuración'!$B$10-1,A75)&gt;'Configuración'!$B$9),"",IF(WORKDAY('Configuración'!$B$10-1,A75)&lt;'Configuración'!$B$8,"",WORKDAY('Configuración'!$B$10-1,A75)))</x:f>
        <x:v>46343</x:v>
      </x:c>
      <x:c r="C75" s="2" t="str">
        <x:v>09:00–11:30</x:v>
      </x:c>
      <x:c r="D75" s="2" t="str">
        <x:v>Servicios programados y controles diarios</x:v>
      </x:c>
      <x:c r="E75" s="10" t="str">
        <x:v>Por asignar</x:v>
      </x:c>
      <x:c r="F75" s="10" t="str"/>
      <x:c r="G75" s="10" t="str">
        <x:v>Pendiente</x:v>
      </x:c>
    </x:row>
    <x:row r="76" ht="24" customHeight="1">
      <x:c r="A76" s="2" t="n">
        <x:v>12</x:v>
      </x:c>
      <x:c r="B76" s="13" t="n">
        <x:f>IF(OR(WORKDAY('Configuración'!$B$10-1,A76)&gt;EOMONTH('Configuración'!$B$10,0),WORKDAY('Configuración'!$B$10-1,A76)&gt;'Configuración'!$B$9),"",IF(WORKDAY('Configuración'!$B$10-1,A76)&lt;'Configuración'!$B$8,"",WORKDAY('Configuración'!$B$10-1,A76)))</x:f>
        <x:v>46343</x:v>
      </x:c>
      <x:c r="C76" s="2" t="str">
        <x:v>11:30–12:00</x:v>
      </x:c>
      <x:c r="D76" s="2" t="str">
        <x:v>Revisión de resultados y fuentes</x:v>
      </x:c>
      <x:c r="E76" s="10" t="str">
        <x:v>Por asignar</x:v>
      </x:c>
      <x:c r="F76" s="10" t="str"/>
      <x:c r="G76" s="10" t="str">
        <x:v>Pendiente</x:v>
      </x:c>
    </x:row>
    <x:row r="77" ht="24" customHeight="1">
      <x:c r="A77" s="2" t="n">
        <x:v>12</x:v>
      </x:c>
      <x:c r="B77" s="13" t="n">
        <x:f>IF(OR(WORKDAY('Configuración'!$B$10-1,A77)&gt;EOMONTH('Configuración'!$B$10,0),WORKDAY('Configuración'!$B$10-1,A77)&gt;'Configuración'!$B$9),"",IF(WORKDAY('Configuración'!$B$10-1,A77)&lt;'Configuración'!$B$8,"",WORKDAY('Configuración'!$B$10-1,A77)))</x:f>
        <x:v>46343</x:v>
      </x:c>
      <x:c r="C77" s="2" t="str">
        <x:v>14:00–15:00</x:v>
      </x:c>
      <x:c r="D77" s="2" t="str">
        <x:v>Clientes, propuestas y próximos contactos</x:v>
      </x:c>
      <x:c r="E77" s="10" t="str">
        <x:v>Por asignar</x:v>
      </x:c>
      <x:c r="F77" s="10" t="str"/>
      <x:c r="G77" s="10" t="str">
        <x:v>Pendiente</x:v>
      </x:c>
    </x:row>
    <x:row r="78" ht="24" customHeight="1">
      <x:c r="A78" s="2" t="n">
        <x:v>12</x:v>
      </x:c>
      <x:c r="B78" s="13" t="n">
        <x:f>IF(OR(WORKDAY('Configuración'!$B$10-1,A78)&gt;EOMONTH('Configuración'!$B$10,0),WORKDAY('Configuración'!$B$10-1,A78)&gt;'Configuración'!$B$9),"",IF(WORKDAY('Configuración'!$B$10-1,A78)&lt;'Configuración'!$B$8,"",WORKDAY('Configuración'!$B$10-1,A78)))</x:f>
        <x:v>46343</x:v>
      </x:c>
      <x:c r="C78" s="2" t="str">
        <x:v>15:00–16:00</x:v>
      </x:c>
      <x:c r="D78" s="2" t="str">
        <x:v>Entregas, proyectos y mejoras</x:v>
      </x:c>
      <x:c r="E78" s="10" t="str">
        <x:v>Por asignar</x:v>
      </x:c>
      <x:c r="F78" s="10" t="str"/>
      <x:c r="G78" s="10" t="str">
        <x:v>Pendiente</x:v>
      </x:c>
    </x:row>
    <x:row r="79" ht="24" customHeight="1">
      <x:c r="A79" s="2" t="n">
        <x:v>12</x:v>
      </x:c>
      <x:c r="B79" s="13" t="n">
        <x:f>IF(OR(WORKDAY('Configuración'!$B$10-1,A79)&gt;EOMONTH('Configuración'!$B$10,0),WORKDAY('Configuración'!$B$10-1,A79)&gt;'Configuración'!$B$9),"",IF(WORKDAY('Configuración'!$B$10-1,A79)&lt;'Configuración'!$B$8,"",WORKDAY('Configuración'!$B$10-1,A79)))</x:f>
        <x:v>46343</x:v>
      </x:c>
      <x:c r="C79" s="2" t="str">
        <x:v>16:00–16:30</x:v>
      </x:c>
      <x:c r="D79" s="2" t="str">
        <x:v>Cierre, pendientes y copia de trabajo</x:v>
      </x:c>
      <x:c r="E79" s="10" t="str">
        <x:v>Por asignar</x:v>
      </x:c>
      <x:c r="F79" s="10" t="str"/>
      <x:c r="G79" s="10" t="str">
        <x:v>Pendiente</x:v>
      </x:c>
    </x:row>
    <x:row r="80" ht="24" customHeight="1">
      <x:c r="A80" s="2" t="n">
        <x:v>13</x:v>
      </x:c>
      <x:c r="B80" s="13" t="n">
        <x:f>IF(OR(WORKDAY('Configuración'!$B$10-1,A80)&gt;EOMONTH('Configuración'!$B$10,0),WORKDAY('Configuración'!$B$10-1,A80)&gt;'Configuración'!$B$9),"",IF(WORKDAY('Configuración'!$B$10-1,A80)&lt;'Configuración'!$B$8,"",WORKDAY('Configuración'!$B$10-1,A80)))</x:f>
        <x:v>46344</x:v>
      </x:c>
      <x:c r="C80" s="2" t="str">
        <x:v>08:30–09:00</x:v>
      </x:c>
      <x:c r="D80" s="2" t="str">
        <x:v>Pedidos, fuentes, vencimientos y prioridades</x:v>
      </x:c>
      <x:c r="E80" s="10" t="str">
        <x:v>Por asignar</x:v>
      </x:c>
      <x:c r="F80" s="10" t="str"/>
      <x:c r="G80" s="10" t="str">
        <x:v>Pendiente</x:v>
      </x:c>
    </x:row>
    <x:row r="81" ht="24" customHeight="1">
      <x:c r="A81" s="2" t="n">
        <x:v>13</x:v>
      </x:c>
      <x:c r="B81" s="13" t="n">
        <x:f>IF(OR(WORKDAY('Configuración'!$B$10-1,A81)&gt;EOMONTH('Configuración'!$B$10,0),WORKDAY('Configuración'!$B$10-1,A81)&gt;'Configuración'!$B$9),"",IF(WORKDAY('Configuración'!$B$10-1,A81)&lt;'Configuración'!$B$8,"",WORKDAY('Configuración'!$B$10-1,A81)))</x:f>
        <x:v>46344</x:v>
      </x:c>
      <x:c r="C81" s="2" t="str">
        <x:v>09:00–11:30</x:v>
      </x:c>
      <x:c r="D81" s="2" t="str">
        <x:v>Servicios programados y controles diarios</x:v>
      </x:c>
      <x:c r="E81" s="10" t="str">
        <x:v>Por asignar</x:v>
      </x:c>
      <x:c r="F81" s="10" t="str"/>
      <x:c r="G81" s="10" t="str">
        <x:v>Pendiente</x:v>
      </x:c>
    </x:row>
    <x:row r="82" ht="24" customHeight="1">
      <x:c r="A82" s="2" t="n">
        <x:v>13</x:v>
      </x:c>
      <x:c r="B82" s="13" t="n">
        <x:f>IF(OR(WORKDAY('Configuración'!$B$10-1,A82)&gt;EOMONTH('Configuración'!$B$10,0),WORKDAY('Configuración'!$B$10-1,A82)&gt;'Configuración'!$B$9),"",IF(WORKDAY('Configuración'!$B$10-1,A82)&lt;'Configuración'!$B$8,"",WORKDAY('Configuración'!$B$10-1,A82)))</x:f>
        <x:v>46344</x:v>
      </x:c>
      <x:c r="C82" s="2" t="str">
        <x:v>11:30–12:00</x:v>
      </x:c>
      <x:c r="D82" s="2" t="str">
        <x:v>Revisión de resultados y fuentes</x:v>
      </x:c>
      <x:c r="E82" s="10" t="str">
        <x:v>Por asignar</x:v>
      </x:c>
      <x:c r="F82" s="10" t="str"/>
      <x:c r="G82" s="10" t="str">
        <x:v>Pendiente</x:v>
      </x:c>
    </x:row>
    <x:row r="83" ht="24" customHeight="1">
      <x:c r="A83" s="2" t="n">
        <x:v>13</x:v>
      </x:c>
      <x:c r="B83" s="13" t="n">
        <x:f>IF(OR(WORKDAY('Configuración'!$B$10-1,A83)&gt;EOMONTH('Configuración'!$B$10,0),WORKDAY('Configuración'!$B$10-1,A83)&gt;'Configuración'!$B$9),"",IF(WORKDAY('Configuración'!$B$10-1,A83)&lt;'Configuración'!$B$8,"",WORKDAY('Configuración'!$B$10-1,A83)))</x:f>
        <x:v>46344</x:v>
      </x:c>
      <x:c r="C83" s="2" t="str">
        <x:v>14:00–15:00</x:v>
      </x:c>
      <x:c r="D83" s="2" t="str">
        <x:v>Clientes, propuestas y próximos contactos</x:v>
      </x:c>
      <x:c r="E83" s="10" t="str">
        <x:v>Por asignar</x:v>
      </x:c>
      <x:c r="F83" s="10" t="str"/>
      <x:c r="G83" s="10" t="str">
        <x:v>Pendiente</x:v>
      </x:c>
    </x:row>
    <x:row r="84" ht="24" customHeight="1">
      <x:c r="A84" s="2" t="n">
        <x:v>13</x:v>
      </x:c>
      <x:c r="B84" s="13" t="n">
        <x:f>IF(OR(WORKDAY('Configuración'!$B$10-1,A84)&gt;EOMONTH('Configuración'!$B$10,0),WORKDAY('Configuración'!$B$10-1,A84)&gt;'Configuración'!$B$9),"",IF(WORKDAY('Configuración'!$B$10-1,A84)&lt;'Configuración'!$B$8,"",WORKDAY('Configuración'!$B$10-1,A84)))</x:f>
        <x:v>46344</x:v>
      </x:c>
      <x:c r="C84" s="2" t="str">
        <x:v>15:00–16:00</x:v>
      </x:c>
      <x:c r="D84" s="2" t="str">
        <x:v>Entregas, proyectos y mejoras</x:v>
      </x:c>
      <x:c r="E84" s="10" t="str">
        <x:v>Por asignar</x:v>
      </x:c>
      <x:c r="F84" s="10" t="str"/>
      <x:c r="G84" s="10" t="str">
        <x:v>Pendiente</x:v>
      </x:c>
    </x:row>
    <x:row r="85" ht="24" customHeight="1">
      <x:c r="A85" s="2" t="n">
        <x:v>13</x:v>
      </x:c>
      <x:c r="B85" s="13" t="n">
        <x:f>IF(OR(WORKDAY('Configuración'!$B$10-1,A85)&gt;EOMONTH('Configuración'!$B$10,0),WORKDAY('Configuración'!$B$10-1,A85)&gt;'Configuración'!$B$9),"",IF(WORKDAY('Configuración'!$B$10-1,A85)&lt;'Configuración'!$B$8,"",WORKDAY('Configuración'!$B$10-1,A85)))</x:f>
        <x:v>46344</x:v>
      </x:c>
      <x:c r="C85" s="2" t="str">
        <x:v>16:00–16:30</x:v>
      </x:c>
      <x:c r="D85" s="2" t="str">
        <x:v>Cierre, pendientes y copia de trabajo</x:v>
      </x:c>
      <x:c r="E85" s="10" t="str">
        <x:v>Por asignar</x:v>
      </x:c>
      <x:c r="F85" s="10" t="str"/>
      <x:c r="G85" s="10" t="str">
        <x:v>Pendiente</x:v>
      </x:c>
    </x:row>
    <x:row r="86" ht="24" customHeight="1">
      <x:c r="A86" s="2" t="n">
        <x:v>14</x:v>
      </x:c>
      <x:c r="B86" s="13" t="n">
        <x:f>IF(OR(WORKDAY('Configuración'!$B$10-1,A86)&gt;EOMONTH('Configuración'!$B$10,0),WORKDAY('Configuración'!$B$10-1,A86)&gt;'Configuración'!$B$9),"",IF(WORKDAY('Configuración'!$B$10-1,A86)&lt;'Configuración'!$B$8,"",WORKDAY('Configuración'!$B$10-1,A86)))</x:f>
        <x:v>46345</x:v>
      </x:c>
      <x:c r="C86" s="2" t="str">
        <x:v>08:30–09:00</x:v>
      </x:c>
      <x:c r="D86" s="2" t="str">
        <x:v>Pedidos, fuentes, vencimientos y prioridades</x:v>
      </x:c>
      <x:c r="E86" s="10" t="str">
        <x:v>Por asignar</x:v>
      </x:c>
      <x:c r="F86" s="10" t="str"/>
      <x:c r="G86" s="10" t="str">
        <x:v>Pendiente</x:v>
      </x:c>
    </x:row>
    <x:row r="87" ht="24" customHeight="1">
      <x:c r="A87" s="2" t="n">
        <x:v>14</x:v>
      </x:c>
      <x:c r="B87" s="13" t="n">
        <x:f>IF(OR(WORKDAY('Configuración'!$B$10-1,A87)&gt;EOMONTH('Configuración'!$B$10,0),WORKDAY('Configuración'!$B$10-1,A87)&gt;'Configuración'!$B$9),"",IF(WORKDAY('Configuración'!$B$10-1,A87)&lt;'Configuración'!$B$8,"",WORKDAY('Configuración'!$B$10-1,A87)))</x:f>
        <x:v>46345</x:v>
      </x:c>
      <x:c r="C87" s="2" t="str">
        <x:v>09:00–11:30</x:v>
      </x:c>
      <x:c r="D87" s="2" t="str">
        <x:v>Servicios programados y controles diarios</x:v>
      </x:c>
      <x:c r="E87" s="10" t="str">
        <x:v>Por asignar</x:v>
      </x:c>
      <x:c r="F87" s="10" t="str"/>
      <x:c r="G87" s="10" t="str">
        <x:v>Pendiente</x:v>
      </x:c>
    </x:row>
    <x:row r="88" ht="24" customHeight="1">
      <x:c r="A88" s="2" t="n">
        <x:v>14</x:v>
      </x:c>
      <x:c r="B88" s="13" t="n">
        <x:f>IF(OR(WORKDAY('Configuración'!$B$10-1,A88)&gt;EOMONTH('Configuración'!$B$10,0),WORKDAY('Configuración'!$B$10-1,A88)&gt;'Configuración'!$B$9),"",IF(WORKDAY('Configuración'!$B$10-1,A88)&lt;'Configuración'!$B$8,"",WORKDAY('Configuración'!$B$10-1,A88)))</x:f>
        <x:v>46345</x:v>
      </x:c>
      <x:c r="C88" s="2" t="str">
        <x:v>11:30–12:00</x:v>
      </x:c>
      <x:c r="D88" s="2" t="str">
        <x:v>Revisión de resultados y fuentes</x:v>
      </x:c>
      <x:c r="E88" s="10" t="str">
        <x:v>Por asignar</x:v>
      </x:c>
      <x:c r="F88" s="10" t="str"/>
      <x:c r="G88" s="10" t="str">
        <x:v>Pendiente</x:v>
      </x:c>
    </x:row>
    <x:row r="89" ht="24" customHeight="1">
      <x:c r="A89" s="2" t="n">
        <x:v>14</x:v>
      </x:c>
      <x:c r="B89" s="13" t="n">
        <x:f>IF(OR(WORKDAY('Configuración'!$B$10-1,A89)&gt;EOMONTH('Configuración'!$B$10,0),WORKDAY('Configuración'!$B$10-1,A89)&gt;'Configuración'!$B$9),"",IF(WORKDAY('Configuración'!$B$10-1,A89)&lt;'Configuración'!$B$8,"",WORKDAY('Configuración'!$B$10-1,A89)))</x:f>
        <x:v>46345</x:v>
      </x:c>
      <x:c r="C89" s="2" t="str">
        <x:v>14:00–15:00</x:v>
      </x:c>
      <x:c r="D89" s="2" t="str">
        <x:v>Clientes, propuestas y próximos contactos</x:v>
      </x:c>
      <x:c r="E89" s="10" t="str">
        <x:v>Por asignar</x:v>
      </x:c>
      <x:c r="F89" s="10" t="str"/>
      <x:c r="G89" s="10" t="str">
        <x:v>Pendiente</x:v>
      </x:c>
    </x:row>
    <x:row r="90" ht="24" customHeight="1">
      <x:c r="A90" s="2" t="n">
        <x:v>14</x:v>
      </x:c>
      <x:c r="B90" s="13" t="n">
        <x:f>IF(OR(WORKDAY('Configuración'!$B$10-1,A90)&gt;EOMONTH('Configuración'!$B$10,0),WORKDAY('Configuración'!$B$10-1,A90)&gt;'Configuración'!$B$9),"",IF(WORKDAY('Configuración'!$B$10-1,A90)&lt;'Configuración'!$B$8,"",WORKDAY('Configuración'!$B$10-1,A90)))</x:f>
        <x:v>46345</x:v>
      </x:c>
      <x:c r="C90" s="2" t="str">
        <x:v>15:00–16:00</x:v>
      </x:c>
      <x:c r="D90" s="2" t="str">
        <x:v>Entregas, proyectos y mejoras</x:v>
      </x:c>
      <x:c r="E90" s="10" t="str">
        <x:v>Por asignar</x:v>
      </x:c>
      <x:c r="F90" s="10" t="str"/>
      <x:c r="G90" s="10" t="str">
        <x:v>Pendiente</x:v>
      </x:c>
    </x:row>
    <x:row r="91" ht="24" customHeight="1">
      <x:c r="A91" s="2" t="n">
        <x:v>14</x:v>
      </x:c>
      <x:c r="B91" s="13" t="n">
        <x:f>IF(OR(WORKDAY('Configuración'!$B$10-1,A91)&gt;EOMONTH('Configuración'!$B$10,0),WORKDAY('Configuración'!$B$10-1,A91)&gt;'Configuración'!$B$9),"",IF(WORKDAY('Configuración'!$B$10-1,A91)&lt;'Configuración'!$B$8,"",WORKDAY('Configuración'!$B$10-1,A91)))</x:f>
        <x:v>46345</x:v>
      </x:c>
      <x:c r="C91" s="2" t="str">
        <x:v>16:00–16:30</x:v>
      </x:c>
      <x:c r="D91" s="2" t="str">
        <x:v>Cierre, pendientes y copia de trabajo</x:v>
      </x:c>
      <x:c r="E91" s="10" t="str">
        <x:v>Por asignar</x:v>
      </x:c>
      <x:c r="F91" s="10" t="str"/>
      <x:c r="G91" s="10" t="str">
        <x:v>Pendiente</x:v>
      </x:c>
    </x:row>
    <x:row r="92" ht="24" customHeight="1">
      <x:c r="A92" s="2" t="n">
        <x:v>15</x:v>
      </x:c>
      <x:c r="B92" s="13" t="n">
        <x:f>IF(OR(WORKDAY('Configuración'!$B$10-1,A92)&gt;EOMONTH('Configuración'!$B$10,0),WORKDAY('Configuración'!$B$10-1,A92)&gt;'Configuración'!$B$9),"",IF(WORKDAY('Configuración'!$B$10-1,A92)&lt;'Configuración'!$B$8,"",WORKDAY('Configuración'!$B$10-1,A92)))</x:f>
        <x:v>46346</x:v>
      </x:c>
      <x:c r="C92" s="2" t="str">
        <x:v>08:30–09:00</x:v>
      </x:c>
      <x:c r="D92" s="2" t="str">
        <x:v>Pedidos, fuentes, vencimientos y prioridades</x:v>
      </x:c>
      <x:c r="E92" s="10" t="str">
        <x:v>Por asignar</x:v>
      </x:c>
      <x:c r="F92" s="10" t="str"/>
      <x:c r="G92" s="10" t="str">
        <x:v>Pendiente</x:v>
      </x:c>
    </x:row>
    <x:row r="93" ht="24" customHeight="1">
      <x:c r="A93" s="2" t="n">
        <x:v>15</x:v>
      </x:c>
      <x:c r="B93" s="13" t="n">
        <x:f>IF(OR(WORKDAY('Configuración'!$B$10-1,A93)&gt;EOMONTH('Configuración'!$B$10,0),WORKDAY('Configuración'!$B$10-1,A93)&gt;'Configuración'!$B$9),"",IF(WORKDAY('Configuración'!$B$10-1,A93)&lt;'Configuración'!$B$8,"",WORKDAY('Configuración'!$B$10-1,A93)))</x:f>
        <x:v>46346</x:v>
      </x:c>
      <x:c r="C93" s="2" t="str">
        <x:v>09:00–11:30</x:v>
      </x:c>
      <x:c r="D93" s="2" t="str">
        <x:v>Servicios programados y controles diarios</x:v>
      </x:c>
      <x:c r="E93" s="10" t="str">
        <x:v>Por asignar</x:v>
      </x:c>
      <x:c r="F93" s="10" t="str"/>
      <x:c r="G93" s="10" t="str">
        <x:v>Pendiente</x:v>
      </x:c>
    </x:row>
    <x:row r="94" ht="24" customHeight="1">
      <x:c r="A94" s="2" t="n">
        <x:v>15</x:v>
      </x:c>
      <x:c r="B94" s="13" t="n">
        <x:f>IF(OR(WORKDAY('Configuración'!$B$10-1,A94)&gt;EOMONTH('Configuración'!$B$10,0),WORKDAY('Configuración'!$B$10-1,A94)&gt;'Configuración'!$B$9),"",IF(WORKDAY('Configuración'!$B$10-1,A94)&lt;'Configuración'!$B$8,"",WORKDAY('Configuración'!$B$10-1,A94)))</x:f>
        <x:v>46346</x:v>
      </x:c>
      <x:c r="C94" s="2" t="str">
        <x:v>11:30–12:00</x:v>
      </x:c>
      <x:c r="D94" s="2" t="str">
        <x:v>Revisión de resultados y fuentes</x:v>
      </x:c>
      <x:c r="E94" s="10" t="str">
        <x:v>Por asignar</x:v>
      </x:c>
      <x:c r="F94" s="10" t="str"/>
      <x:c r="G94" s="10" t="str">
        <x:v>Pendiente</x:v>
      </x:c>
    </x:row>
    <x:row r="95" ht="24" customHeight="1">
      <x:c r="A95" s="2" t="n">
        <x:v>15</x:v>
      </x:c>
      <x:c r="B95" s="13" t="n">
        <x:f>IF(OR(WORKDAY('Configuración'!$B$10-1,A95)&gt;EOMONTH('Configuración'!$B$10,0),WORKDAY('Configuración'!$B$10-1,A95)&gt;'Configuración'!$B$9),"",IF(WORKDAY('Configuración'!$B$10-1,A95)&lt;'Configuración'!$B$8,"",WORKDAY('Configuración'!$B$10-1,A95)))</x:f>
        <x:v>46346</x:v>
      </x:c>
      <x:c r="C95" s="2" t="str">
        <x:v>14:00–15:00</x:v>
      </x:c>
      <x:c r="D95" s="2" t="str">
        <x:v>Clientes, propuestas y próximos contactos</x:v>
      </x:c>
      <x:c r="E95" s="10" t="str">
        <x:v>Por asignar</x:v>
      </x:c>
      <x:c r="F95" s="10" t="str"/>
      <x:c r="G95" s="10" t="str">
        <x:v>Pendiente</x:v>
      </x:c>
    </x:row>
    <x:row r="96" ht="24" customHeight="1">
      <x:c r="A96" s="2" t="n">
        <x:v>15</x:v>
      </x:c>
      <x:c r="B96" s="13" t="n">
        <x:f>IF(OR(WORKDAY('Configuración'!$B$10-1,A96)&gt;EOMONTH('Configuración'!$B$10,0),WORKDAY('Configuración'!$B$10-1,A96)&gt;'Configuración'!$B$9),"",IF(WORKDAY('Configuración'!$B$10-1,A96)&lt;'Configuración'!$B$8,"",WORKDAY('Configuración'!$B$10-1,A96)))</x:f>
        <x:v>46346</x:v>
      </x:c>
      <x:c r="C96" s="2" t="str">
        <x:v>15:00–16:00</x:v>
      </x:c>
      <x:c r="D96" s="2" t="str">
        <x:v>Entregas, proyectos y mejoras</x:v>
      </x:c>
      <x:c r="E96" s="10" t="str">
        <x:v>Por asignar</x:v>
      </x:c>
      <x:c r="F96" s="10" t="str"/>
      <x:c r="G96" s="10" t="str">
        <x:v>Pendiente</x:v>
      </x:c>
    </x:row>
    <x:row r="97" ht="24" customHeight="1">
      <x:c r="A97" s="2" t="n">
        <x:v>15</x:v>
      </x:c>
      <x:c r="B97" s="13" t="n">
        <x:f>IF(OR(WORKDAY('Configuración'!$B$10-1,A97)&gt;EOMONTH('Configuración'!$B$10,0),WORKDAY('Configuración'!$B$10-1,A97)&gt;'Configuración'!$B$9),"",IF(WORKDAY('Configuración'!$B$10-1,A97)&lt;'Configuración'!$B$8,"",WORKDAY('Configuración'!$B$10-1,A97)))</x:f>
        <x:v>46346</x:v>
      </x:c>
      <x:c r="C97" s="2" t="str">
        <x:v>16:00–16:30</x:v>
      </x:c>
      <x:c r="D97" s="2" t="str">
        <x:v>Cierre, pendientes y copia de trabajo</x:v>
      </x:c>
      <x:c r="E97" s="10" t="str">
        <x:v>Por asignar</x:v>
      </x:c>
      <x:c r="F97" s="10" t="str"/>
      <x:c r="G97" s="10" t="str">
        <x:v>Pendiente</x:v>
      </x:c>
    </x:row>
    <x:row r="98" ht="24" customHeight="1">
      <x:c r="A98" s="2" t="n">
        <x:v>16</x:v>
      </x:c>
      <x:c r="B98" s="13" t="n">
        <x:f>IF(OR(WORKDAY('Configuración'!$B$10-1,A98)&gt;EOMONTH('Configuración'!$B$10,0),WORKDAY('Configuración'!$B$10-1,A98)&gt;'Configuración'!$B$9),"",IF(WORKDAY('Configuración'!$B$10-1,A98)&lt;'Configuración'!$B$8,"",WORKDAY('Configuración'!$B$10-1,A98)))</x:f>
        <x:v>46349</x:v>
      </x:c>
      <x:c r="C98" s="2" t="str">
        <x:v>08:30–09:00</x:v>
      </x:c>
      <x:c r="D98" s="2" t="str">
        <x:v>Pedidos, fuentes, vencimientos y prioridades</x:v>
      </x:c>
      <x:c r="E98" s="10" t="str">
        <x:v>Por asignar</x:v>
      </x:c>
      <x:c r="F98" s="10" t="str"/>
      <x:c r="G98" s="10" t="str">
        <x:v>Pendiente</x:v>
      </x:c>
    </x:row>
    <x:row r="99" ht="24" customHeight="1">
      <x:c r="A99" s="2" t="n">
        <x:v>16</x:v>
      </x:c>
      <x:c r="B99" s="13" t="n">
        <x:f>IF(OR(WORKDAY('Configuración'!$B$10-1,A99)&gt;EOMONTH('Configuración'!$B$10,0),WORKDAY('Configuración'!$B$10-1,A99)&gt;'Configuración'!$B$9),"",IF(WORKDAY('Configuración'!$B$10-1,A99)&lt;'Configuración'!$B$8,"",WORKDAY('Configuración'!$B$10-1,A99)))</x:f>
        <x:v>46349</x:v>
      </x:c>
      <x:c r="C99" s="2" t="str">
        <x:v>09:00–11:30</x:v>
      </x:c>
      <x:c r="D99" s="2" t="str">
        <x:v>Servicios programados y controles diarios</x:v>
      </x:c>
      <x:c r="E99" s="10" t="str">
        <x:v>Por asignar</x:v>
      </x:c>
      <x:c r="F99" s="10" t="str"/>
      <x:c r="G99" s="10" t="str">
        <x:v>Pendiente</x:v>
      </x:c>
    </x:row>
    <x:row r="100" ht="24" customHeight="1">
      <x:c r="A100" s="2" t="n">
        <x:v>16</x:v>
      </x:c>
      <x:c r="B100" s="13" t="n">
        <x:f>IF(OR(WORKDAY('Configuración'!$B$10-1,A100)&gt;EOMONTH('Configuración'!$B$10,0),WORKDAY('Configuración'!$B$10-1,A100)&gt;'Configuración'!$B$9),"",IF(WORKDAY('Configuración'!$B$10-1,A100)&lt;'Configuración'!$B$8,"",WORKDAY('Configuración'!$B$10-1,A100)))</x:f>
        <x:v>46349</x:v>
      </x:c>
      <x:c r="C100" s="2" t="str">
        <x:v>11:30–12:00</x:v>
      </x:c>
      <x:c r="D100" s="2" t="str">
        <x:v>Revisión de resultados y fuentes</x:v>
      </x:c>
      <x:c r="E100" s="10" t="str">
        <x:v>Por asignar</x:v>
      </x:c>
      <x:c r="F100" s="10" t="str"/>
      <x:c r="G100" s="10" t="str">
        <x:v>Pendiente</x:v>
      </x:c>
    </x:row>
    <x:row r="101" ht="24" customHeight="1">
      <x:c r="A101" s="2" t="n">
        <x:v>16</x:v>
      </x:c>
      <x:c r="B101" s="13" t="n">
        <x:f>IF(OR(WORKDAY('Configuración'!$B$10-1,A101)&gt;EOMONTH('Configuración'!$B$10,0),WORKDAY('Configuración'!$B$10-1,A101)&gt;'Configuración'!$B$9),"",IF(WORKDAY('Configuración'!$B$10-1,A101)&lt;'Configuración'!$B$8,"",WORKDAY('Configuración'!$B$10-1,A101)))</x:f>
        <x:v>46349</x:v>
      </x:c>
      <x:c r="C101" s="2" t="str">
        <x:v>14:00–15:00</x:v>
      </x:c>
      <x:c r="D101" s="2" t="str">
        <x:v>Clientes, propuestas y próximos contactos</x:v>
      </x:c>
      <x:c r="E101" s="10" t="str">
        <x:v>Por asignar</x:v>
      </x:c>
      <x:c r="F101" s="10" t="str"/>
      <x:c r="G101" s="10" t="str">
        <x:v>Pendiente</x:v>
      </x:c>
    </x:row>
    <x:row r="102" ht="24" customHeight="1">
      <x:c r="A102" s="2" t="n">
        <x:v>16</x:v>
      </x:c>
      <x:c r="B102" s="13" t="n">
        <x:f>IF(OR(WORKDAY('Configuración'!$B$10-1,A102)&gt;EOMONTH('Configuración'!$B$10,0),WORKDAY('Configuración'!$B$10-1,A102)&gt;'Configuración'!$B$9),"",IF(WORKDAY('Configuración'!$B$10-1,A102)&lt;'Configuración'!$B$8,"",WORKDAY('Configuración'!$B$10-1,A102)))</x:f>
        <x:v>46349</x:v>
      </x:c>
      <x:c r="C102" s="2" t="str">
        <x:v>15:00–16:00</x:v>
      </x:c>
      <x:c r="D102" s="2" t="str">
        <x:v>Entregas, proyectos y mejoras</x:v>
      </x:c>
      <x:c r="E102" s="10" t="str">
        <x:v>Por asignar</x:v>
      </x:c>
      <x:c r="F102" s="10" t="str"/>
      <x:c r="G102" s="10" t="str">
        <x:v>Pendiente</x:v>
      </x:c>
    </x:row>
    <x:row r="103" ht="24" customHeight="1">
      <x:c r="A103" s="2" t="n">
        <x:v>16</x:v>
      </x:c>
      <x:c r="B103" s="13" t="n">
        <x:f>IF(OR(WORKDAY('Configuración'!$B$10-1,A103)&gt;EOMONTH('Configuración'!$B$10,0),WORKDAY('Configuración'!$B$10-1,A103)&gt;'Configuración'!$B$9),"",IF(WORKDAY('Configuración'!$B$10-1,A103)&lt;'Configuración'!$B$8,"",WORKDAY('Configuración'!$B$10-1,A103)))</x:f>
        <x:v>46349</x:v>
      </x:c>
      <x:c r="C103" s="2" t="str">
        <x:v>16:00–16:30</x:v>
      </x:c>
      <x:c r="D103" s="2" t="str">
        <x:v>Cierre, pendientes y copia de trabajo</x:v>
      </x:c>
      <x:c r="E103" s="10" t="str">
        <x:v>Por asignar</x:v>
      </x:c>
      <x:c r="F103" s="10" t="str"/>
      <x:c r="G103" s="10" t="str">
        <x:v>Pendiente</x:v>
      </x:c>
    </x:row>
    <x:row r="104" ht="24" customHeight="1">
      <x:c r="A104" s="2" t="n">
        <x:v>17</x:v>
      </x:c>
      <x:c r="B104" s="13" t="n">
        <x:f>IF(OR(WORKDAY('Configuración'!$B$10-1,A104)&gt;EOMONTH('Configuración'!$B$10,0),WORKDAY('Configuración'!$B$10-1,A104)&gt;'Configuración'!$B$9),"",IF(WORKDAY('Configuración'!$B$10-1,A104)&lt;'Configuración'!$B$8,"",WORKDAY('Configuración'!$B$10-1,A104)))</x:f>
        <x:v>46350</x:v>
      </x:c>
      <x:c r="C104" s="2" t="str">
        <x:v>08:30–09:00</x:v>
      </x:c>
      <x:c r="D104" s="2" t="str">
        <x:v>Pedidos, fuentes, vencimientos y prioridades</x:v>
      </x:c>
      <x:c r="E104" s="10" t="str">
        <x:v>Por asignar</x:v>
      </x:c>
      <x:c r="F104" s="10" t="str"/>
      <x:c r="G104" s="10" t="str">
        <x:v>Pendiente</x:v>
      </x:c>
    </x:row>
    <x:row r="105" ht="24" customHeight="1">
      <x:c r="A105" s="2" t="n">
        <x:v>17</x:v>
      </x:c>
      <x:c r="B105" s="13" t="n">
        <x:f>IF(OR(WORKDAY('Configuración'!$B$10-1,A105)&gt;EOMONTH('Configuración'!$B$10,0),WORKDAY('Configuración'!$B$10-1,A105)&gt;'Configuración'!$B$9),"",IF(WORKDAY('Configuración'!$B$10-1,A105)&lt;'Configuración'!$B$8,"",WORKDAY('Configuración'!$B$10-1,A105)))</x:f>
        <x:v>46350</x:v>
      </x:c>
      <x:c r="C105" s="2" t="str">
        <x:v>09:00–11:30</x:v>
      </x:c>
      <x:c r="D105" s="2" t="str">
        <x:v>Servicios programados y controles diarios</x:v>
      </x:c>
      <x:c r="E105" s="10" t="str">
        <x:v>Por asignar</x:v>
      </x:c>
      <x:c r="F105" s="10" t="str"/>
      <x:c r="G105" s="10" t="str">
        <x:v>Pendiente</x:v>
      </x:c>
    </x:row>
    <x:row r="106" ht="24" customHeight="1">
      <x:c r="A106" s="2" t="n">
        <x:v>17</x:v>
      </x:c>
      <x:c r="B106" s="13" t="n">
        <x:f>IF(OR(WORKDAY('Configuración'!$B$10-1,A106)&gt;EOMONTH('Configuración'!$B$10,0),WORKDAY('Configuración'!$B$10-1,A106)&gt;'Configuración'!$B$9),"",IF(WORKDAY('Configuración'!$B$10-1,A106)&lt;'Configuración'!$B$8,"",WORKDAY('Configuración'!$B$10-1,A106)))</x:f>
        <x:v>46350</x:v>
      </x:c>
      <x:c r="C106" s="2" t="str">
        <x:v>11:30–12:00</x:v>
      </x:c>
      <x:c r="D106" s="2" t="str">
        <x:v>Revisión de resultados y fuentes</x:v>
      </x:c>
      <x:c r="E106" s="10" t="str">
        <x:v>Por asignar</x:v>
      </x:c>
      <x:c r="F106" s="10" t="str"/>
      <x:c r="G106" s="10" t="str">
        <x:v>Pendiente</x:v>
      </x:c>
    </x:row>
    <x:row r="107" ht="24" customHeight="1">
      <x:c r="A107" s="2" t="n">
        <x:v>17</x:v>
      </x:c>
      <x:c r="B107" s="13" t="n">
        <x:f>IF(OR(WORKDAY('Configuración'!$B$10-1,A107)&gt;EOMONTH('Configuración'!$B$10,0),WORKDAY('Configuración'!$B$10-1,A107)&gt;'Configuración'!$B$9),"",IF(WORKDAY('Configuración'!$B$10-1,A107)&lt;'Configuración'!$B$8,"",WORKDAY('Configuración'!$B$10-1,A107)))</x:f>
        <x:v>46350</x:v>
      </x:c>
      <x:c r="C107" s="2" t="str">
        <x:v>14:00–15:00</x:v>
      </x:c>
      <x:c r="D107" s="2" t="str">
        <x:v>Clientes, propuestas y próximos contactos</x:v>
      </x:c>
      <x:c r="E107" s="10" t="str">
        <x:v>Por asignar</x:v>
      </x:c>
      <x:c r="F107" s="10" t="str"/>
      <x:c r="G107" s="10" t="str">
        <x:v>Pendiente</x:v>
      </x:c>
    </x:row>
    <x:row r="108" ht="24" customHeight="1">
      <x:c r="A108" s="2" t="n">
        <x:v>17</x:v>
      </x:c>
      <x:c r="B108" s="13" t="n">
        <x:f>IF(OR(WORKDAY('Configuración'!$B$10-1,A108)&gt;EOMONTH('Configuración'!$B$10,0),WORKDAY('Configuración'!$B$10-1,A108)&gt;'Configuración'!$B$9),"",IF(WORKDAY('Configuración'!$B$10-1,A108)&lt;'Configuración'!$B$8,"",WORKDAY('Configuración'!$B$10-1,A108)))</x:f>
        <x:v>46350</x:v>
      </x:c>
      <x:c r="C108" s="2" t="str">
        <x:v>15:00–16:00</x:v>
      </x:c>
      <x:c r="D108" s="2" t="str">
        <x:v>Entregas, proyectos y mejoras</x:v>
      </x:c>
      <x:c r="E108" s="10" t="str">
        <x:v>Por asignar</x:v>
      </x:c>
      <x:c r="F108" s="10" t="str"/>
      <x:c r="G108" s="10" t="str">
        <x:v>Pendiente</x:v>
      </x:c>
    </x:row>
    <x:row r="109" ht="24" customHeight="1">
      <x:c r="A109" s="2" t="n">
        <x:v>17</x:v>
      </x:c>
      <x:c r="B109" s="13" t="n">
        <x:f>IF(OR(WORKDAY('Configuración'!$B$10-1,A109)&gt;EOMONTH('Configuración'!$B$10,0),WORKDAY('Configuración'!$B$10-1,A109)&gt;'Configuración'!$B$9),"",IF(WORKDAY('Configuración'!$B$10-1,A109)&lt;'Configuración'!$B$8,"",WORKDAY('Configuración'!$B$10-1,A109)))</x:f>
        <x:v>46350</x:v>
      </x:c>
      <x:c r="C109" s="2" t="str">
        <x:v>16:00–16:30</x:v>
      </x:c>
      <x:c r="D109" s="2" t="str">
        <x:v>Cierre, pendientes y copia de trabajo</x:v>
      </x:c>
      <x:c r="E109" s="10" t="str">
        <x:v>Por asignar</x:v>
      </x:c>
      <x:c r="F109" s="10" t="str"/>
      <x:c r="G109" s="10" t="str">
        <x:v>Pendiente</x:v>
      </x:c>
    </x:row>
    <x:row r="110" ht="24" customHeight="1">
      <x:c r="A110" s="2" t="n">
        <x:v>18</x:v>
      </x:c>
      <x:c r="B110" s="13" t="n">
        <x:f>IF(OR(WORKDAY('Configuración'!$B$10-1,A110)&gt;EOMONTH('Configuración'!$B$10,0),WORKDAY('Configuración'!$B$10-1,A110)&gt;'Configuración'!$B$9),"",IF(WORKDAY('Configuración'!$B$10-1,A110)&lt;'Configuración'!$B$8,"",WORKDAY('Configuración'!$B$10-1,A110)))</x:f>
        <x:v>46351</x:v>
      </x:c>
      <x:c r="C110" s="2" t="str">
        <x:v>08:30–09:00</x:v>
      </x:c>
      <x:c r="D110" s="2" t="str">
        <x:v>Pedidos, fuentes, vencimientos y prioridades</x:v>
      </x:c>
      <x:c r="E110" s="10" t="str">
        <x:v>Por asignar</x:v>
      </x:c>
      <x:c r="F110" s="10" t="str"/>
      <x:c r="G110" s="10" t="str">
        <x:v>Pendiente</x:v>
      </x:c>
    </x:row>
    <x:row r="111" ht="24" customHeight="1">
      <x:c r="A111" s="2" t="n">
        <x:v>18</x:v>
      </x:c>
      <x:c r="B111" s="13" t="n">
        <x:f>IF(OR(WORKDAY('Configuración'!$B$10-1,A111)&gt;EOMONTH('Configuración'!$B$10,0),WORKDAY('Configuración'!$B$10-1,A111)&gt;'Configuración'!$B$9),"",IF(WORKDAY('Configuración'!$B$10-1,A111)&lt;'Configuración'!$B$8,"",WORKDAY('Configuración'!$B$10-1,A111)))</x:f>
        <x:v>46351</x:v>
      </x:c>
      <x:c r="C111" s="2" t="str">
        <x:v>09:00–11:30</x:v>
      </x:c>
      <x:c r="D111" s="2" t="str">
        <x:v>Servicios programados y controles diarios</x:v>
      </x:c>
      <x:c r="E111" s="10" t="str">
        <x:v>Por asignar</x:v>
      </x:c>
      <x:c r="F111" s="10" t="str"/>
      <x:c r="G111" s="10" t="str">
        <x:v>Pendiente</x:v>
      </x:c>
    </x:row>
    <x:row r="112" ht="24" customHeight="1">
      <x:c r="A112" s="2" t="n">
        <x:v>18</x:v>
      </x:c>
      <x:c r="B112" s="13" t="n">
        <x:f>IF(OR(WORKDAY('Configuración'!$B$10-1,A112)&gt;EOMONTH('Configuración'!$B$10,0),WORKDAY('Configuración'!$B$10-1,A112)&gt;'Configuración'!$B$9),"",IF(WORKDAY('Configuración'!$B$10-1,A112)&lt;'Configuración'!$B$8,"",WORKDAY('Configuración'!$B$10-1,A112)))</x:f>
        <x:v>46351</x:v>
      </x:c>
      <x:c r="C112" s="2" t="str">
        <x:v>11:30–12:00</x:v>
      </x:c>
      <x:c r="D112" s="2" t="str">
        <x:v>Revisión de resultados y fuentes</x:v>
      </x:c>
      <x:c r="E112" s="10" t="str">
        <x:v>Por asignar</x:v>
      </x:c>
      <x:c r="F112" s="10" t="str"/>
      <x:c r="G112" s="10" t="str">
        <x:v>Pendiente</x:v>
      </x:c>
    </x:row>
    <x:row r="113" ht="24" customHeight="1">
      <x:c r="A113" s="2" t="n">
        <x:v>18</x:v>
      </x:c>
      <x:c r="B113" s="13" t="n">
        <x:f>IF(OR(WORKDAY('Configuración'!$B$10-1,A113)&gt;EOMONTH('Configuración'!$B$10,0),WORKDAY('Configuración'!$B$10-1,A113)&gt;'Configuración'!$B$9),"",IF(WORKDAY('Configuración'!$B$10-1,A113)&lt;'Configuración'!$B$8,"",WORKDAY('Configuración'!$B$10-1,A113)))</x:f>
        <x:v>46351</x:v>
      </x:c>
      <x:c r="C113" s="2" t="str">
        <x:v>14:00–15:00</x:v>
      </x:c>
      <x:c r="D113" s="2" t="str">
        <x:v>Clientes, propuestas y próximos contactos</x:v>
      </x:c>
      <x:c r="E113" s="10" t="str">
        <x:v>Por asignar</x:v>
      </x:c>
      <x:c r="F113" s="10" t="str"/>
      <x:c r="G113" s="10" t="str">
        <x:v>Pendiente</x:v>
      </x:c>
    </x:row>
    <x:row r="114" ht="24" customHeight="1">
      <x:c r="A114" s="2" t="n">
        <x:v>18</x:v>
      </x:c>
      <x:c r="B114" s="13" t="n">
        <x:f>IF(OR(WORKDAY('Configuración'!$B$10-1,A114)&gt;EOMONTH('Configuración'!$B$10,0),WORKDAY('Configuración'!$B$10-1,A114)&gt;'Configuración'!$B$9),"",IF(WORKDAY('Configuración'!$B$10-1,A114)&lt;'Configuración'!$B$8,"",WORKDAY('Configuración'!$B$10-1,A114)))</x:f>
        <x:v>46351</x:v>
      </x:c>
      <x:c r="C114" s="2" t="str">
        <x:v>15:00–16:00</x:v>
      </x:c>
      <x:c r="D114" s="2" t="str">
        <x:v>Entregas, proyectos y mejoras</x:v>
      </x:c>
      <x:c r="E114" s="10" t="str">
        <x:v>Por asignar</x:v>
      </x:c>
      <x:c r="F114" s="10" t="str"/>
      <x:c r="G114" s="10" t="str">
        <x:v>Pendiente</x:v>
      </x:c>
    </x:row>
    <x:row r="115" ht="24" customHeight="1">
      <x:c r="A115" s="2" t="n">
        <x:v>18</x:v>
      </x:c>
      <x:c r="B115" s="13" t="n">
        <x:f>IF(OR(WORKDAY('Configuración'!$B$10-1,A115)&gt;EOMONTH('Configuración'!$B$10,0),WORKDAY('Configuración'!$B$10-1,A115)&gt;'Configuración'!$B$9),"",IF(WORKDAY('Configuración'!$B$10-1,A115)&lt;'Configuración'!$B$8,"",WORKDAY('Configuración'!$B$10-1,A115)))</x:f>
        <x:v>46351</x:v>
      </x:c>
      <x:c r="C115" s="2" t="str">
        <x:v>16:00–16:30</x:v>
      </x:c>
      <x:c r="D115" s="2" t="str">
        <x:v>Cierre, pendientes y copia de trabajo</x:v>
      </x:c>
      <x:c r="E115" s="10" t="str">
        <x:v>Por asignar</x:v>
      </x:c>
      <x:c r="F115" s="10" t="str"/>
      <x:c r="G115" s="10" t="str">
        <x:v>Pendiente</x:v>
      </x:c>
    </x:row>
    <x:row r="116" ht="24" customHeight="1">
      <x:c r="A116" s="2" t="n">
        <x:v>19</x:v>
      </x:c>
      <x:c r="B116" s="13" t="n">
        <x:f>IF(OR(WORKDAY('Configuración'!$B$10-1,A116)&gt;EOMONTH('Configuración'!$B$10,0),WORKDAY('Configuración'!$B$10-1,A116)&gt;'Configuración'!$B$9),"",IF(WORKDAY('Configuración'!$B$10-1,A116)&lt;'Configuración'!$B$8,"",WORKDAY('Configuración'!$B$10-1,A116)))</x:f>
        <x:v>46352</x:v>
      </x:c>
      <x:c r="C116" s="2" t="str">
        <x:v>08:30–09:00</x:v>
      </x:c>
      <x:c r="D116" s="2" t="str">
        <x:v>Pedidos, fuentes, vencimientos y prioridades</x:v>
      </x:c>
      <x:c r="E116" s="10" t="str">
        <x:v>Por asignar</x:v>
      </x:c>
      <x:c r="F116" s="10" t="str"/>
      <x:c r="G116" s="10" t="str">
        <x:v>Pendiente</x:v>
      </x:c>
    </x:row>
    <x:row r="117" ht="24" customHeight="1">
      <x:c r="A117" s="2" t="n">
        <x:v>19</x:v>
      </x:c>
      <x:c r="B117" s="13" t="n">
        <x:f>IF(OR(WORKDAY('Configuración'!$B$10-1,A117)&gt;EOMONTH('Configuración'!$B$10,0),WORKDAY('Configuración'!$B$10-1,A117)&gt;'Configuración'!$B$9),"",IF(WORKDAY('Configuración'!$B$10-1,A117)&lt;'Configuración'!$B$8,"",WORKDAY('Configuración'!$B$10-1,A117)))</x:f>
        <x:v>46352</x:v>
      </x:c>
      <x:c r="C117" s="2" t="str">
        <x:v>09:00–11:30</x:v>
      </x:c>
      <x:c r="D117" s="2" t="str">
        <x:v>Servicios programados y controles diarios</x:v>
      </x:c>
      <x:c r="E117" s="10" t="str">
        <x:v>Por asignar</x:v>
      </x:c>
      <x:c r="F117" s="10" t="str"/>
      <x:c r="G117" s="10" t="str">
        <x:v>Pendiente</x:v>
      </x:c>
    </x:row>
    <x:row r="118" ht="24" customHeight="1">
      <x:c r="A118" s="2" t="n">
        <x:v>19</x:v>
      </x:c>
      <x:c r="B118" s="13" t="n">
        <x:f>IF(OR(WORKDAY('Configuración'!$B$10-1,A118)&gt;EOMONTH('Configuración'!$B$10,0),WORKDAY('Configuración'!$B$10-1,A118)&gt;'Configuración'!$B$9),"",IF(WORKDAY('Configuración'!$B$10-1,A118)&lt;'Configuración'!$B$8,"",WORKDAY('Configuración'!$B$10-1,A118)))</x:f>
        <x:v>46352</x:v>
      </x:c>
      <x:c r="C118" s="2" t="str">
        <x:v>11:30–12:00</x:v>
      </x:c>
      <x:c r="D118" s="2" t="str">
        <x:v>Revisión de resultados y fuentes</x:v>
      </x:c>
      <x:c r="E118" s="10" t="str">
        <x:v>Por asignar</x:v>
      </x:c>
      <x:c r="F118" s="10" t="str"/>
      <x:c r="G118" s="10" t="str">
        <x:v>Pendiente</x:v>
      </x:c>
    </x:row>
    <x:row r="119" ht="24" customHeight="1">
      <x:c r="A119" s="2" t="n">
        <x:v>19</x:v>
      </x:c>
      <x:c r="B119" s="13" t="n">
        <x:f>IF(OR(WORKDAY('Configuración'!$B$10-1,A119)&gt;EOMONTH('Configuración'!$B$10,0),WORKDAY('Configuración'!$B$10-1,A119)&gt;'Configuración'!$B$9),"",IF(WORKDAY('Configuración'!$B$10-1,A119)&lt;'Configuración'!$B$8,"",WORKDAY('Configuración'!$B$10-1,A119)))</x:f>
        <x:v>46352</x:v>
      </x:c>
      <x:c r="C119" s="2" t="str">
        <x:v>14:00–15:00</x:v>
      </x:c>
      <x:c r="D119" s="2" t="str">
        <x:v>Clientes, propuestas y próximos contactos</x:v>
      </x:c>
      <x:c r="E119" s="10" t="str">
        <x:v>Por asignar</x:v>
      </x:c>
      <x:c r="F119" s="10" t="str"/>
      <x:c r="G119" s="10" t="str">
        <x:v>Pendiente</x:v>
      </x:c>
    </x:row>
    <x:row r="120" ht="24" customHeight="1">
      <x:c r="A120" s="2" t="n">
        <x:v>19</x:v>
      </x:c>
      <x:c r="B120" s="13" t="n">
        <x:f>IF(OR(WORKDAY('Configuración'!$B$10-1,A120)&gt;EOMONTH('Configuración'!$B$10,0),WORKDAY('Configuración'!$B$10-1,A120)&gt;'Configuración'!$B$9),"",IF(WORKDAY('Configuración'!$B$10-1,A120)&lt;'Configuración'!$B$8,"",WORKDAY('Configuración'!$B$10-1,A120)))</x:f>
        <x:v>46352</x:v>
      </x:c>
      <x:c r="C120" s="2" t="str">
        <x:v>15:00–16:00</x:v>
      </x:c>
      <x:c r="D120" s="2" t="str">
        <x:v>Entregas, proyectos y mejoras</x:v>
      </x:c>
      <x:c r="E120" s="10" t="str">
        <x:v>Por asignar</x:v>
      </x:c>
      <x:c r="F120" s="10" t="str"/>
      <x:c r="G120" s="10" t="str">
        <x:v>Pendiente</x:v>
      </x:c>
    </x:row>
    <x:row r="121" ht="24" customHeight="1">
      <x:c r="A121" s="2" t="n">
        <x:v>19</x:v>
      </x:c>
      <x:c r="B121" s="13" t="n">
        <x:f>IF(OR(WORKDAY('Configuración'!$B$10-1,A121)&gt;EOMONTH('Configuración'!$B$10,0),WORKDAY('Configuración'!$B$10-1,A121)&gt;'Configuración'!$B$9),"",IF(WORKDAY('Configuración'!$B$10-1,A121)&lt;'Configuración'!$B$8,"",WORKDAY('Configuración'!$B$10-1,A121)))</x:f>
        <x:v>46352</x:v>
      </x:c>
      <x:c r="C121" s="2" t="str">
        <x:v>16:00–16:30</x:v>
      </x:c>
      <x:c r="D121" s="2" t="str">
        <x:v>Cierre, pendientes y copia de trabajo</x:v>
      </x:c>
      <x:c r="E121" s="10" t="str">
        <x:v>Por asignar</x:v>
      </x:c>
      <x:c r="F121" s="10" t="str"/>
      <x:c r="G121" s="10" t="str">
        <x:v>Pendiente</x:v>
      </x:c>
    </x:row>
    <x:row r="122" ht="24" customHeight="1">
      <x:c r="A122" s="2" t="n">
        <x:v>20</x:v>
      </x:c>
      <x:c r="B122" s="13" t="n">
        <x:f>IF(OR(WORKDAY('Configuración'!$B$10-1,A122)&gt;EOMONTH('Configuración'!$B$10,0),WORKDAY('Configuración'!$B$10-1,A122)&gt;'Configuración'!$B$9),"",IF(WORKDAY('Configuración'!$B$10-1,A122)&lt;'Configuración'!$B$8,"",WORKDAY('Configuración'!$B$10-1,A122)))</x:f>
        <x:v>46353</x:v>
      </x:c>
      <x:c r="C122" s="2" t="str">
        <x:v>08:30–09:00</x:v>
      </x:c>
      <x:c r="D122" s="2" t="str">
        <x:v>Pedidos, fuentes, vencimientos y prioridades</x:v>
      </x:c>
      <x:c r="E122" s="10" t="str">
        <x:v>Por asignar</x:v>
      </x:c>
      <x:c r="F122" s="10" t="str"/>
      <x:c r="G122" s="10" t="str">
        <x:v>Pendiente</x:v>
      </x:c>
    </x:row>
    <x:row r="123" ht="24" customHeight="1">
      <x:c r="A123" s="2" t="n">
        <x:v>20</x:v>
      </x:c>
      <x:c r="B123" s="13" t="n">
        <x:f>IF(OR(WORKDAY('Configuración'!$B$10-1,A123)&gt;EOMONTH('Configuración'!$B$10,0),WORKDAY('Configuración'!$B$10-1,A123)&gt;'Configuración'!$B$9),"",IF(WORKDAY('Configuración'!$B$10-1,A123)&lt;'Configuración'!$B$8,"",WORKDAY('Configuración'!$B$10-1,A123)))</x:f>
        <x:v>46353</x:v>
      </x:c>
      <x:c r="C123" s="2" t="str">
        <x:v>09:00–11:30</x:v>
      </x:c>
      <x:c r="D123" s="2" t="str">
        <x:v>Servicios programados y controles diarios</x:v>
      </x:c>
      <x:c r="E123" s="10" t="str">
        <x:v>Por asignar</x:v>
      </x:c>
      <x:c r="F123" s="10" t="str"/>
      <x:c r="G123" s="10" t="str">
        <x:v>Pendiente</x:v>
      </x:c>
    </x:row>
    <x:row r="124" ht="24" customHeight="1">
      <x:c r="A124" s="2" t="n">
        <x:v>20</x:v>
      </x:c>
      <x:c r="B124" s="13" t="n">
        <x:f>IF(OR(WORKDAY('Configuración'!$B$10-1,A124)&gt;EOMONTH('Configuración'!$B$10,0),WORKDAY('Configuración'!$B$10-1,A124)&gt;'Configuración'!$B$9),"",IF(WORKDAY('Configuración'!$B$10-1,A124)&lt;'Configuración'!$B$8,"",WORKDAY('Configuración'!$B$10-1,A124)))</x:f>
        <x:v>46353</x:v>
      </x:c>
      <x:c r="C124" s="2" t="str">
        <x:v>11:30–12:00</x:v>
      </x:c>
      <x:c r="D124" s="2" t="str">
        <x:v>Revisión de resultados y fuentes</x:v>
      </x:c>
      <x:c r="E124" s="10" t="str">
        <x:v>Por asignar</x:v>
      </x:c>
      <x:c r="F124" s="10" t="str"/>
      <x:c r="G124" s="10" t="str">
        <x:v>Pendiente</x:v>
      </x:c>
    </x:row>
    <x:row r="125" ht="24" customHeight="1">
      <x:c r="A125" s="2" t="n">
        <x:v>20</x:v>
      </x:c>
      <x:c r="B125" s="13" t="n">
        <x:f>IF(OR(WORKDAY('Configuración'!$B$10-1,A125)&gt;EOMONTH('Configuración'!$B$10,0),WORKDAY('Configuración'!$B$10-1,A125)&gt;'Configuración'!$B$9),"",IF(WORKDAY('Configuración'!$B$10-1,A125)&lt;'Configuración'!$B$8,"",WORKDAY('Configuración'!$B$10-1,A125)))</x:f>
        <x:v>46353</x:v>
      </x:c>
      <x:c r="C125" s="2" t="str">
        <x:v>14:00–15:00</x:v>
      </x:c>
      <x:c r="D125" s="2" t="str">
        <x:v>Clientes, propuestas y próximos contactos</x:v>
      </x:c>
      <x:c r="E125" s="10" t="str">
        <x:v>Por asignar</x:v>
      </x:c>
      <x:c r="F125" s="10" t="str"/>
      <x:c r="G125" s="10" t="str">
        <x:v>Pendiente</x:v>
      </x:c>
    </x:row>
    <x:row r="126" ht="24" customHeight="1">
      <x:c r="A126" s="2" t="n">
        <x:v>20</x:v>
      </x:c>
      <x:c r="B126" s="13" t="n">
        <x:f>IF(OR(WORKDAY('Configuración'!$B$10-1,A126)&gt;EOMONTH('Configuración'!$B$10,0),WORKDAY('Configuración'!$B$10-1,A126)&gt;'Configuración'!$B$9),"",IF(WORKDAY('Configuración'!$B$10-1,A126)&lt;'Configuración'!$B$8,"",WORKDAY('Configuración'!$B$10-1,A126)))</x:f>
        <x:v>46353</x:v>
      </x:c>
      <x:c r="C126" s="2" t="str">
        <x:v>15:00–16:00</x:v>
      </x:c>
      <x:c r="D126" s="2" t="str">
        <x:v>Entregas, proyectos y mejoras</x:v>
      </x:c>
      <x:c r="E126" s="10" t="str">
        <x:v>Por asignar</x:v>
      </x:c>
      <x:c r="F126" s="10" t="str"/>
      <x:c r="G126" s="10" t="str">
        <x:v>Pendiente</x:v>
      </x:c>
    </x:row>
    <x:row r="127" ht="24" customHeight="1">
      <x:c r="A127" s="2" t="n">
        <x:v>20</x:v>
      </x:c>
      <x:c r="B127" s="13" t="n">
        <x:f>IF(OR(WORKDAY('Configuración'!$B$10-1,A127)&gt;EOMONTH('Configuración'!$B$10,0),WORKDAY('Configuración'!$B$10-1,A127)&gt;'Configuración'!$B$9),"",IF(WORKDAY('Configuración'!$B$10-1,A127)&lt;'Configuración'!$B$8,"",WORKDAY('Configuración'!$B$10-1,A127)))</x:f>
        <x:v>46353</x:v>
      </x:c>
      <x:c r="C127" s="2" t="str">
        <x:v>16:00–16:30</x:v>
      </x:c>
      <x:c r="D127" s="2" t="str">
        <x:v>Cierre, pendientes y copia de trabajo</x:v>
      </x:c>
      <x:c r="E127" s="10" t="str">
        <x:v>Por asignar</x:v>
      </x:c>
      <x:c r="F127" s="10" t="str"/>
      <x:c r="G127" s="10" t="str">
        <x:v>Pendiente</x:v>
      </x:c>
    </x:row>
    <x:row r="128" ht="24" customHeight="1">
      <x:c r="A128" s="2" t="n">
        <x:v>21</x:v>
      </x:c>
      <x:c r="B128" s="13" t="n">
        <x:f>IF(OR(WORKDAY('Configuración'!$B$10-1,A128)&gt;EOMONTH('Configuración'!$B$10,0),WORKDAY('Configuración'!$B$10-1,A128)&gt;'Configuración'!$B$9),"",IF(WORKDAY('Configuración'!$B$10-1,A128)&lt;'Configuración'!$B$8,"",WORKDAY('Configuración'!$B$10-1,A128)))</x:f>
        <x:v>46356</x:v>
      </x:c>
      <x:c r="C128" s="2" t="str">
        <x:v>08:30–09:00</x:v>
      </x:c>
      <x:c r="D128" s="2" t="str">
        <x:v>Pedidos, fuentes, vencimientos y prioridades</x:v>
      </x:c>
      <x:c r="E128" s="10" t="str">
        <x:v>Por asignar</x:v>
      </x:c>
      <x:c r="F128" s="10" t="str"/>
      <x:c r="G128" s="10" t="str">
        <x:v>Pendiente</x:v>
      </x:c>
    </x:row>
    <x:row r="129" ht="24" customHeight="1">
      <x:c r="A129" s="2" t="n">
        <x:v>21</x:v>
      </x:c>
      <x:c r="B129" s="13" t="n">
        <x:f>IF(OR(WORKDAY('Configuración'!$B$10-1,A129)&gt;EOMONTH('Configuración'!$B$10,0),WORKDAY('Configuración'!$B$10-1,A129)&gt;'Configuración'!$B$9),"",IF(WORKDAY('Configuración'!$B$10-1,A129)&lt;'Configuración'!$B$8,"",WORKDAY('Configuración'!$B$10-1,A129)))</x:f>
        <x:v>46356</x:v>
      </x:c>
      <x:c r="C129" s="2" t="str">
        <x:v>09:00–11:30</x:v>
      </x:c>
      <x:c r="D129" s="2" t="str">
        <x:v>Servicios programados y controles diarios</x:v>
      </x:c>
      <x:c r="E129" s="10" t="str">
        <x:v>Por asignar</x:v>
      </x:c>
      <x:c r="F129" s="10" t="str"/>
      <x:c r="G129" s="10" t="str">
        <x:v>Pendiente</x:v>
      </x:c>
    </x:row>
    <x:row r="130" ht="24" customHeight="1">
      <x:c r="A130" s="2" t="n">
        <x:v>21</x:v>
      </x:c>
      <x:c r="B130" s="13" t="n">
        <x:f>IF(OR(WORKDAY('Configuración'!$B$10-1,A130)&gt;EOMONTH('Configuración'!$B$10,0),WORKDAY('Configuración'!$B$10-1,A130)&gt;'Configuración'!$B$9),"",IF(WORKDAY('Configuración'!$B$10-1,A130)&lt;'Configuración'!$B$8,"",WORKDAY('Configuración'!$B$10-1,A130)))</x:f>
        <x:v>46356</x:v>
      </x:c>
      <x:c r="C130" s="2" t="str">
        <x:v>11:30–12:00</x:v>
      </x:c>
      <x:c r="D130" s="2" t="str">
        <x:v>Revisión de resultados y fuentes</x:v>
      </x:c>
      <x:c r="E130" s="10" t="str">
        <x:v>Por asignar</x:v>
      </x:c>
      <x:c r="F130" s="10" t="str"/>
      <x:c r="G130" s="10" t="str">
        <x:v>Pendiente</x:v>
      </x:c>
    </x:row>
    <x:row r="131" ht="24" customHeight="1">
      <x:c r="A131" s="2" t="n">
        <x:v>21</x:v>
      </x:c>
      <x:c r="B131" s="13" t="n">
        <x:f>IF(OR(WORKDAY('Configuración'!$B$10-1,A131)&gt;EOMONTH('Configuración'!$B$10,0),WORKDAY('Configuración'!$B$10-1,A131)&gt;'Configuración'!$B$9),"",IF(WORKDAY('Configuración'!$B$10-1,A131)&lt;'Configuración'!$B$8,"",WORKDAY('Configuración'!$B$10-1,A131)))</x:f>
        <x:v>46356</x:v>
      </x:c>
      <x:c r="C131" s="2" t="str">
        <x:v>14:00–15:00</x:v>
      </x:c>
      <x:c r="D131" s="2" t="str">
        <x:v>Clientes, propuestas y próximos contactos</x:v>
      </x:c>
      <x:c r="E131" s="10" t="str">
        <x:v>Por asignar</x:v>
      </x:c>
      <x:c r="F131" s="10" t="str"/>
      <x:c r="G131" s="10" t="str">
        <x:v>Pendiente</x:v>
      </x:c>
    </x:row>
    <x:row r="132" ht="24" customHeight="1">
      <x:c r="A132" s="2" t="n">
        <x:v>21</x:v>
      </x:c>
      <x:c r="B132" s="13" t="n">
        <x:f>IF(OR(WORKDAY('Configuración'!$B$10-1,A132)&gt;EOMONTH('Configuración'!$B$10,0),WORKDAY('Configuración'!$B$10-1,A132)&gt;'Configuración'!$B$9),"",IF(WORKDAY('Configuración'!$B$10-1,A132)&lt;'Configuración'!$B$8,"",WORKDAY('Configuración'!$B$10-1,A132)))</x:f>
        <x:v>46356</x:v>
      </x:c>
      <x:c r="C132" s="2" t="str">
        <x:v>15:00–16:00</x:v>
      </x:c>
      <x:c r="D132" s="2" t="str">
        <x:v>Entregas, proyectos y mejoras</x:v>
      </x:c>
      <x:c r="E132" s="10" t="str">
        <x:v>Por asignar</x:v>
      </x:c>
      <x:c r="F132" s="10" t="str"/>
      <x:c r="G132" s="10" t="str">
        <x:v>Pendiente</x:v>
      </x:c>
    </x:row>
    <x:row r="133" ht="24" customHeight="1">
      <x:c r="A133" s="2" t="n">
        <x:v>21</x:v>
      </x:c>
      <x:c r="B133" s="13" t="n">
        <x:f>IF(OR(WORKDAY('Configuración'!$B$10-1,A133)&gt;EOMONTH('Configuración'!$B$10,0),WORKDAY('Configuración'!$B$10-1,A133)&gt;'Configuración'!$B$9),"",IF(WORKDAY('Configuración'!$B$10-1,A133)&lt;'Configuración'!$B$8,"",WORKDAY('Configuración'!$B$10-1,A133)))</x:f>
        <x:v>46356</x:v>
      </x:c>
      <x:c r="C133" s="2" t="str">
        <x:v>16:00–16:30</x:v>
      </x:c>
      <x:c r="D133" s="2" t="str">
        <x:v>Cierre, pendientes y copia de trabajo</x:v>
      </x:c>
      <x:c r="E133" s="10" t="str">
        <x:v>Por asignar</x:v>
      </x:c>
      <x:c r="F133" s="10" t="str"/>
      <x:c r="G133" s="10" t="str">
        <x:v>Pendiente</x:v>
      </x:c>
    </x:row>
    <x:row r="134" ht="24" customHeight="1">
      <x:c r="A134" s="2" t="n">
        <x:v>22</x:v>
      </x:c>
      <x:c r="B134" s="13" t="str">
        <x:f>IF(OR(WORKDAY('Configuración'!$B$10-1,A134)&gt;EOMONTH('Configuración'!$B$10,0),WORKDAY('Configuración'!$B$10-1,A134)&gt;'Configuración'!$B$9),"",IF(WORKDAY('Configuración'!$B$10-1,A134)&lt;'Configuración'!$B$8,"",WORKDAY('Configuración'!$B$10-1,A134)))</x:f>
      </x:c>
      <x:c r="C134" s="2" t="str">
        <x:v>08:30–09:00</x:v>
      </x:c>
      <x:c r="D134" s="2" t="str">
        <x:v>Pedidos, fuentes, vencimientos y prioridades</x:v>
      </x:c>
      <x:c r="E134" s="10" t="str">
        <x:v>Por asignar</x:v>
      </x:c>
      <x:c r="F134" s="10" t="str"/>
      <x:c r="G134" s="10" t="str">
        <x:v>Pendiente</x:v>
      </x:c>
    </x:row>
    <x:row r="135" ht="24" customHeight="1">
      <x:c r="A135" s="2" t="n">
        <x:v>22</x:v>
      </x:c>
      <x:c r="B135" s="13" t="str">
        <x:f>IF(OR(WORKDAY('Configuración'!$B$10-1,A135)&gt;EOMONTH('Configuración'!$B$10,0),WORKDAY('Configuración'!$B$10-1,A135)&gt;'Configuración'!$B$9),"",IF(WORKDAY('Configuración'!$B$10-1,A135)&lt;'Configuración'!$B$8,"",WORKDAY('Configuración'!$B$10-1,A135)))</x:f>
      </x:c>
      <x:c r="C135" s="2" t="str">
        <x:v>09:00–11:30</x:v>
      </x:c>
      <x:c r="D135" s="2" t="str">
        <x:v>Servicios programados y controles diarios</x:v>
      </x:c>
      <x:c r="E135" s="10" t="str">
        <x:v>Por asignar</x:v>
      </x:c>
      <x:c r="F135" s="10" t="str"/>
      <x:c r="G135" s="10" t="str">
        <x:v>Pendiente</x:v>
      </x:c>
    </x:row>
    <x:row r="136" ht="24" customHeight="1">
      <x:c r="A136" s="2" t="n">
        <x:v>22</x:v>
      </x:c>
      <x:c r="B136" s="13" t="str">
        <x:f>IF(OR(WORKDAY('Configuración'!$B$10-1,A136)&gt;EOMONTH('Configuración'!$B$10,0),WORKDAY('Configuración'!$B$10-1,A136)&gt;'Configuración'!$B$9),"",IF(WORKDAY('Configuración'!$B$10-1,A136)&lt;'Configuración'!$B$8,"",WORKDAY('Configuración'!$B$10-1,A136)))</x:f>
      </x:c>
      <x:c r="C136" s="2" t="str">
        <x:v>11:30–12:00</x:v>
      </x:c>
      <x:c r="D136" s="2" t="str">
        <x:v>Revisión de resultados y fuentes</x:v>
      </x:c>
      <x:c r="E136" s="10" t="str">
        <x:v>Por asignar</x:v>
      </x:c>
      <x:c r="F136" s="10" t="str"/>
      <x:c r="G136" s="10" t="str">
        <x:v>Pendiente</x:v>
      </x:c>
    </x:row>
    <x:row r="137" ht="24" customHeight="1">
      <x:c r="A137" s="2" t="n">
        <x:v>22</x:v>
      </x:c>
      <x:c r="B137" s="13" t="str">
        <x:f>IF(OR(WORKDAY('Configuración'!$B$10-1,A137)&gt;EOMONTH('Configuración'!$B$10,0),WORKDAY('Configuración'!$B$10-1,A137)&gt;'Configuración'!$B$9),"",IF(WORKDAY('Configuración'!$B$10-1,A137)&lt;'Configuración'!$B$8,"",WORKDAY('Configuración'!$B$10-1,A137)))</x:f>
      </x:c>
      <x:c r="C137" s="2" t="str">
        <x:v>14:00–15:00</x:v>
      </x:c>
      <x:c r="D137" s="2" t="str">
        <x:v>Clientes, propuestas y próximos contactos</x:v>
      </x:c>
      <x:c r="E137" s="10" t="str">
        <x:v>Por asignar</x:v>
      </x:c>
      <x:c r="F137" s="10" t="str"/>
      <x:c r="G137" s="10" t="str">
        <x:v>Pendiente</x:v>
      </x:c>
    </x:row>
    <x:row r="138" ht="24" customHeight="1">
      <x:c r="A138" s="2" t="n">
        <x:v>22</x:v>
      </x:c>
      <x:c r="B138" s="13" t="str">
        <x:f>IF(OR(WORKDAY('Configuración'!$B$10-1,A138)&gt;EOMONTH('Configuración'!$B$10,0),WORKDAY('Configuración'!$B$10-1,A138)&gt;'Configuración'!$B$9),"",IF(WORKDAY('Configuración'!$B$10-1,A138)&lt;'Configuración'!$B$8,"",WORKDAY('Configuración'!$B$10-1,A138)))</x:f>
      </x:c>
      <x:c r="C138" s="2" t="str">
        <x:v>15:00–16:00</x:v>
      </x:c>
      <x:c r="D138" s="2" t="str">
        <x:v>Entregas, proyectos y mejoras</x:v>
      </x:c>
      <x:c r="E138" s="10" t="str">
        <x:v>Por asignar</x:v>
      </x:c>
      <x:c r="F138" s="10" t="str"/>
      <x:c r="G138" s="10" t="str">
        <x:v>Pendiente</x:v>
      </x:c>
    </x:row>
    <x:row r="139" ht="24" customHeight="1">
      <x:c r="A139" s="2" t="n">
        <x:v>22</x:v>
      </x:c>
      <x:c r="B139" s="13" t="str">
        <x:f>IF(OR(WORKDAY('Configuración'!$B$10-1,A139)&gt;EOMONTH('Configuración'!$B$10,0),WORKDAY('Configuración'!$B$10-1,A139)&gt;'Configuración'!$B$9),"",IF(WORKDAY('Configuración'!$B$10-1,A139)&lt;'Configuración'!$B$8,"",WORKDAY('Configuración'!$B$10-1,A139)))</x:f>
      </x:c>
      <x:c r="C139" s="2" t="str">
        <x:v>16:00–16:30</x:v>
      </x:c>
      <x:c r="D139" s="2" t="str">
        <x:v>Cierre, pendientes y copia de trabajo</x:v>
      </x:c>
      <x:c r="E139" s="10" t="str">
        <x:v>Por asignar</x:v>
      </x:c>
      <x:c r="F139" s="10" t="str"/>
      <x:c r="G139" s="10" t="str">
        <x:v>Pendiente</x:v>
      </x:c>
    </x:row>
    <x:row r="140" ht="24" customHeight="1">
      <x:c r="A140" s="2" t="n">
        <x:v>23</x:v>
      </x:c>
      <x:c r="B140" s="13" t="str">
        <x:f>IF(OR(WORKDAY('Configuración'!$B$10-1,A140)&gt;EOMONTH('Configuración'!$B$10,0),WORKDAY('Configuración'!$B$10-1,A140)&gt;'Configuración'!$B$9),"",IF(WORKDAY('Configuración'!$B$10-1,A140)&lt;'Configuración'!$B$8,"",WORKDAY('Configuración'!$B$10-1,A140)))</x:f>
      </x:c>
      <x:c r="C140" s="2" t="str">
        <x:v>08:30–09:00</x:v>
      </x:c>
      <x:c r="D140" s="2" t="str">
        <x:v>Pedidos, fuentes, vencimientos y prioridades</x:v>
      </x:c>
      <x:c r="E140" s="10" t="str">
        <x:v>Por asignar</x:v>
      </x:c>
      <x:c r="F140" s="10" t="str"/>
      <x:c r="G140" s="10" t="str">
        <x:v>Pendiente</x:v>
      </x:c>
    </x:row>
    <x:row r="141" ht="24" customHeight="1">
      <x:c r="A141" s="2" t="n">
        <x:v>23</x:v>
      </x:c>
      <x:c r="B141" s="13" t="str">
        <x:f>IF(OR(WORKDAY('Configuración'!$B$10-1,A141)&gt;EOMONTH('Configuración'!$B$10,0),WORKDAY('Configuración'!$B$10-1,A141)&gt;'Configuración'!$B$9),"",IF(WORKDAY('Configuración'!$B$10-1,A141)&lt;'Configuración'!$B$8,"",WORKDAY('Configuración'!$B$10-1,A141)))</x:f>
      </x:c>
      <x:c r="C141" s="2" t="str">
        <x:v>09:00–11:30</x:v>
      </x:c>
      <x:c r="D141" s="2" t="str">
        <x:v>Servicios programados y controles diarios</x:v>
      </x:c>
      <x:c r="E141" s="10" t="str">
        <x:v>Por asignar</x:v>
      </x:c>
      <x:c r="F141" s="10" t="str"/>
      <x:c r="G141" s="10" t="str">
        <x:v>Pendiente</x:v>
      </x:c>
    </x:row>
    <x:row r="142" ht="24" customHeight="1">
      <x:c r="A142" s="2" t="n">
        <x:v>23</x:v>
      </x:c>
      <x:c r="B142" s="13" t="str">
        <x:f>IF(OR(WORKDAY('Configuración'!$B$10-1,A142)&gt;EOMONTH('Configuración'!$B$10,0),WORKDAY('Configuración'!$B$10-1,A142)&gt;'Configuración'!$B$9),"",IF(WORKDAY('Configuración'!$B$10-1,A142)&lt;'Configuración'!$B$8,"",WORKDAY('Configuración'!$B$10-1,A142)))</x:f>
      </x:c>
      <x:c r="C142" s="2" t="str">
        <x:v>11:30–12:00</x:v>
      </x:c>
      <x:c r="D142" s="2" t="str">
        <x:v>Revisión de resultados y fuentes</x:v>
      </x:c>
      <x:c r="E142" s="10" t="str">
        <x:v>Por asignar</x:v>
      </x:c>
      <x:c r="F142" s="10" t="str"/>
      <x:c r="G142" s="10" t="str">
        <x:v>Pendiente</x:v>
      </x:c>
    </x:row>
    <x:row r="143" ht="24" customHeight="1">
      <x:c r="A143" s="2" t="n">
        <x:v>23</x:v>
      </x:c>
      <x:c r="B143" s="13" t="str">
        <x:f>IF(OR(WORKDAY('Configuración'!$B$10-1,A143)&gt;EOMONTH('Configuración'!$B$10,0),WORKDAY('Configuración'!$B$10-1,A143)&gt;'Configuración'!$B$9),"",IF(WORKDAY('Configuración'!$B$10-1,A143)&lt;'Configuración'!$B$8,"",WORKDAY('Configuración'!$B$10-1,A143)))</x:f>
      </x:c>
      <x:c r="C143" s="2" t="str">
        <x:v>14:00–15:00</x:v>
      </x:c>
      <x:c r="D143" s="2" t="str">
        <x:v>Clientes, propuestas y próximos contactos</x:v>
      </x:c>
      <x:c r="E143" s="10" t="str">
        <x:v>Por asignar</x:v>
      </x:c>
      <x:c r="F143" s="10" t="str"/>
      <x:c r="G143" s="10" t="str">
        <x:v>Pendiente</x:v>
      </x:c>
    </x:row>
    <x:row r="144" ht="24" customHeight="1">
      <x:c r="A144" s="2" t="n">
        <x:v>23</x:v>
      </x:c>
      <x:c r="B144" s="13" t="str">
        <x:f>IF(OR(WORKDAY('Configuración'!$B$10-1,A144)&gt;EOMONTH('Configuración'!$B$10,0),WORKDAY('Configuración'!$B$10-1,A144)&gt;'Configuración'!$B$9),"",IF(WORKDAY('Configuración'!$B$10-1,A144)&lt;'Configuración'!$B$8,"",WORKDAY('Configuración'!$B$10-1,A144)))</x:f>
      </x:c>
      <x:c r="C144" s="2" t="str">
        <x:v>15:00–16:00</x:v>
      </x:c>
      <x:c r="D144" s="2" t="str">
        <x:v>Entregas, proyectos y mejoras</x:v>
      </x:c>
      <x:c r="E144" s="10" t="str">
        <x:v>Por asignar</x:v>
      </x:c>
      <x:c r="F144" s="10" t="str"/>
      <x:c r="G144" s="10" t="str">
        <x:v>Pendiente</x:v>
      </x:c>
    </x:row>
    <x:row r="145" ht="24" customHeight="1">
      <x:c r="A145" s="2" t="n">
        <x:v>23</x:v>
      </x:c>
      <x:c r="B145" s="13" t="str">
        <x:f>IF(OR(WORKDAY('Configuración'!$B$10-1,A145)&gt;EOMONTH('Configuración'!$B$10,0),WORKDAY('Configuración'!$B$10-1,A145)&gt;'Configuración'!$B$9),"",IF(WORKDAY('Configuración'!$B$10-1,A145)&lt;'Configuración'!$B$8,"",WORKDAY('Configuración'!$B$10-1,A145)))</x:f>
      </x:c>
      <x:c r="C145" s="2" t="str">
        <x:v>16:00–16:30</x:v>
      </x:c>
      <x:c r="D145" s="2" t="str">
        <x:v>Cierre, pendientes y copia de trabajo</x:v>
      </x:c>
      <x:c r="E145" s="10" t="str">
        <x:v>Por asignar</x:v>
      </x:c>
      <x:c r="F145" s="10" t="str"/>
      <x:c r="G145" s="10" t="str">
        <x:v>Pendiente</x:v>
      </x:c>
    </x:row>
    <x:row r="146" ht="24" customHeight="1">
      <x:c r="A146" s="2"/>
      <x:c r="B146" s="2"/>
      <x:c r="C146" s="2"/>
      <x:c r="D146" s="2"/>
      <x:c r="E146" s="2"/>
      <x:c r="F146" s="2"/>
      <x:c r="G146" s="2"/>
    </x:row>
    <x:row r="147" ht="24" customHeight="1">
      <x:c r="A147" s="2"/>
      <x:c r="B147" s="2"/>
      <x:c r="C147" s="2"/>
      <x:c r="D147" s="2"/>
      <x:c r="E147" s="2"/>
      <x:c r="F147" s="2"/>
      <x:c r="G147" s="2"/>
    </x:row>
    <x:row r="148" ht="24" customHeight="1">
      <x:c r="A148" s="2"/>
      <x:c r="B148" s="2"/>
      <x:c r="C148" s="2"/>
      <x:c r="D148" s="2"/>
      <x:c r="E148" s="2"/>
      <x:c r="F148" s="2"/>
      <x:c r="G148" s="2"/>
    </x:row>
    <x:row r="149" ht="24" customHeight="1">
      <x:c r="A149" s="2"/>
      <x:c r="B149" s="2"/>
      <x:c r="C149" s="2"/>
      <x:c r="D149" s="2"/>
      <x:c r="E149" s="2"/>
      <x:c r="F149" s="2"/>
      <x:c r="G149" s="2"/>
    </x:row>
    <x:row r="150" ht="24" customHeight="1">
      <x:c r="A150" s="2"/>
      <x:c r="B150" s="2"/>
      <x:c r="C150" s="2"/>
      <x:c r="D150" s="2"/>
      <x:c r="E150" s="2"/>
      <x:c r="F150" s="2"/>
      <x:c r="G150" s="2"/>
    </x:row>
    <x:row r="151" ht="24" customHeight="1">
      <x:c r="A151" s="2"/>
      <x:c r="B151" s="2"/>
      <x:c r="C151" s="2"/>
      <x:c r="D151" s="2"/>
      <x:c r="E151" s="2"/>
      <x:c r="F151" s="2"/>
      <x:c r="G151" s="2"/>
    </x:row>
    <x:row r="152" ht="24" customHeight="1">
      <x:c r="A152" s="2"/>
      <x:c r="B152" s="2"/>
      <x:c r="C152" s="2"/>
      <x:c r="D152" s="2"/>
      <x:c r="E152" s="2"/>
      <x:c r="F152" s="2"/>
      <x:c r="G152" s="2"/>
    </x:row>
    <x:row r="153" ht="24" customHeight="1">
      <x:c r="A153" s="2"/>
      <x:c r="B153" s="2"/>
      <x:c r="C153" s="2"/>
      <x:c r="D153" s="2"/>
      <x:c r="E153" s="2"/>
      <x:c r="F153" s="2"/>
      <x:c r="G153" s="2"/>
    </x:row>
    <x:row r="154" ht="24" customHeight="1">
      <x:c r="A154" s="2"/>
      <x:c r="B154" s="2"/>
      <x:c r="C154" s="2"/>
      <x:c r="D154" s="2"/>
      <x:c r="E154" s="2"/>
      <x:c r="F154" s="2"/>
      <x:c r="G154" s="2"/>
    </x:row>
    <x:row r="155" ht="24" customHeight="1">
      <x:c r="A155" s="2"/>
      <x:c r="B155" s="2"/>
      <x:c r="C155" s="2"/>
      <x:c r="D155" s="2"/>
      <x:c r="E155" s="2"/>
      <x:c r="F155" s="2"/>
      <x:c r="G155" s="2"/>
    </x:row>
    <x:row r="156" ht="24" customHeight="1">
      <x:c r="A156" s="2"/>
      <x:c r="B156" s="2"/>
      <x:c r="C156" s="2"/>
      <x:c r="D156" s="2"/>
      <x:c r="E156" s="2"/>
      <x:c r="F156" s="2"/>
      <x:c r="G156" s="2"/>
    </x:row>
    <x:row r="157" ht="24" customHeight="1">
      <x:c r="A157" s="2"/>
      <x:c r="B157" s="2"/>
      <x:c r="C157" s="2"/>
      <x:c r="D157" s="2"/>
      <x:c r="E157" s="2"/>
      <x:c r="F157" s="2"/>
      <x:c r="G157" s="2"/>
    </x:row>
    <x:row r="158" ht="24" customHeight="1">
      <x:c r="A158" s="2"/>
      <x:c r="B158" s="2"/>
      <x:c r="C158" s="2"/>
      <x:c r="D158" s="2"/>
      <x:c r="E158" s="2"/>
      <x:c r="F158" s="2"/>
      <x:c r="G158" s="2"/>
    </x:row>
    <x:row r="159" ht="24" customHeight="1">
      <x:c r="A159" s="2"/>
      <x:c r="B159" s="2"/>
      <x:c r="C159" s="2"/>
      <x:c r="D159" s="2"/>
      <x:c r="E159" s="2"/>
      <x:c r="F159" s="2"/>
      <x:c r="G159" s="2"/>
    </x:row>
    <x:row r="160" ht="24" customHeight="1">
      <x:c r="A160" s="2"/>
      <x:c r="B160" s="2"/>
      <x:c r="C160" s="2"/>
      <x:c r="D160" s="2"/>
      <x:c r="E160" s="2"/>
      <x:c r="F160" s="2"/>
      <x:c r="G160" s="2"/>
    </x:row>
    <x:row r="161" ht="24" customHeight="1">
      <x:c r="A161" s="2"/>
      <x:c r="B161" s="2"/>
      <x:c r="C161" s="2"/>
      <x:c r="D161" s="2"/>
      <x:c r="E161" s="2"/>
      <x:c r="F161" s="2"/>
      <x:c r="G161" s="2"/>
    </x:row>
    <x:row r="162" ht="24" customHeight="1">
      <x:c r="A162" s="2"/>
      <x:c r="B162" s="2"/>
      <x:c r="C162" s="2"/>
      <x:c r="D162" s="2"/>
      <x:c r="E162" s="2"/>
      <x:c r="F162" s="2"/>
      <x:c r="G162" s="2"/>
    </x:row>
    <x:row r="163" ht="24" customHeight="1">
      <x:c r="A163" s="2"/>
      <x:c r="B163" s="2"/>
      <x:c r="C163" s="2"/>
      <x:c r="D163" s="2"/>
      <x:c r="E163" s="2"/>
      <x:c r="F163" s="2"/>
      <x:c r="G163" s="2"/>
    </x:row>
    <x:row r="164" ht="24" customHeight="1">
      <x:c r="A164" s="2"/>
      <x:c r="B164" s="2"/>
      <x:c r="C164" s="2"/>
      <x:c r="D164" s="2"/>
      <x:c r="E164" s="2"/>
      <x:c r="F164" s="2"/>
      <x:c r="G164" s="2"/>
    </x:row>
    <x:row r="165" ht="24" customHeight="1">
      <x:c r="A165" s="2"/>
      <x:c r="B165" s="2"/>
      <x:c r="C165" s="2"/>
      <x:c r="D165" s="2"/>
      <x:c r="E165" s="2"/>
      <x:c r="F165" s="2"/>
      <x:c r="G165" s="2"/>
    </x:row>
    <x:row r="166" ht="24" customHeight="1">
      <x:c r="A166" s="2"/>
      <x:c r="B166" s="2"/>
      <x:c r="C166" s="2"/>
      <x:c r="D166" s="2"/>
      <x:c r="E166" s="2"/>
      <x:c r="F166" s="2"/>
      <x:c r="G166" s="2"/>
    </x:row>
    <x:row r="167" ht="24" customHeight="1">
      <x:c r="A167" s="2"/>
      <x:c r="B167" s="2"/>
      <x:c r="C167" s="2"/>
      <x:c r="D167" s="2"/>
      <x:c r="E167" s="2"/>
      <x:c r="F167" s="2"/>
      <x:c r="G167" s="2"/>
    </x:row>
    <x:row r="168" ht="24" customHeight="1">
      <x:c r="A168" s="2"/>
      <x:c r="B168" s="2"/>
      <x:c r="C168" s="2"/>
      <x:c r="D168" s="2"/>
      <x:c r="E168" s="2"/>
      <x:c r="F168" s="2"/>
      <x:c r="G168" s="2"/>
    </x:row>
    <x:row r="169" ht="24" customHeight="1">
      <x:c r="A169" s="2"/>
      <x:c r="B169" s="2"/>
      <x:c r="C169" s="2"/>
      <x:c r="D169" s="2"/>
      <x:c r="E169" s="2"/>
      <x:c r="F169" s="2"/>
      <x:c r="G169" s="2"/>
    </x:row>
    <x:row r="170" ht="24" customHeight="1">
      <x:c r="A170" s="2"/>
      <x:c r="B170" s="2"/>
      <x:c r="C170" s="2"/>
      <x:c r="D170" s="2"/>
      <x:c r="E170" s="2"/>
      <x:c r="F170" s="2"/>
      <x:c r="G170" s="2"/>
    </x:row>
    <x:row r="171" ht="24" customHeight="1">
      <x:c r="A171" s="2"/>
      <x:c r="B171" s="2"/>
      <x:c r="C171" s="2"/>
      <x:c r="D171" s="2"/>
      <x:c r="E171" s="2"/>
      <x:c r="F171" s="2"/>
      <x:c r="G171" s="2"/>
    </x:row>
    <x:row r="172" ht="24" customHeight="1">
      <x:c r="A172" s="2"/>
      <x:c r="B172" s="2"/>
      <x:c r="C172" s="2"/>
      <x:c r="D172" s="2"/>
      <x:c r="E172" s="2"/>
      <x:c r="F172" s="2"/>
      <x:c r="G172" s="2"/>
    </x:row>
    <x:row r="173" ht="24" customHeight="1">
      <x:c r="A173" s="2"/>
      <x:c r="B173" s="2"/>
      <x:c r="C173" s="2"/>
      <x:c r="D173" s="2"/>
      <x:c r="E173" s="2"/>
      <x:c r="F173" s="2"/>
      <x:c r="G173" s="2"/>
    </x:row>
    <x:row r="174" ht="24" customHeight="1">
      <x:c r="A174" s="2"/>
      <x:c r="B174" s="2"/>
      <x:c r="C174" s="2"/>
      <x:c r="D174" s="2"/>
      <x:c r="E174" s="2"/>
      <x:c r="F174" s="2"/>
      <x:c r="G174" s="2"/>
    </x:row>
    <x:row r="175" ht="24" customHeight="1">
      <x:c r="A175" s="2"/>
      <x:c r="B175" s="2"/>
      <x:c r="C175" s="2"/>
      <x:c r="D175" s="2"/>
      <x:c r="E175" s="2"/>
      <x:c r="F175" s="2"/>
      <x:c r="G175" s="2"/>
    </x:row>
    <x:row r="176" ht="24" customHeight="1">
      <x:c r="A176" s="2"/>
      <x:c r="B176" s="2"/>
      <x:c r="C176" s="2"/>
      <x:c r="D176" s="2"/>
      <x:c r="E176" s="2"/>
      <x:c r="F176" s="2"/>
      <x:c r="G176" s="2"/>
    </x:row>
    <x:row r="177" ht="24" customHeight="1">
      <x:c r="A177" s="2"/>
      <x:c r="B177" s="2"/>
      <x:c r="C177" s="2"/>
      <x:c r="D177" s="2"/>
      <x:c r="E177" s="2"/>
      <x:c r="F177" s="2"/>
      <x:c r="G177" s="2"/>
    </x:row>
    <x:row r="178" ht="24" customHeight="1">
      <x:c r="A178" s="2"/>
      <x:c r="B178" s="2"/>
      <x:c r="C178" s="2"/>
      <x:c r="D178" s="2"/>
      <x:c r="E178" s="2"/>
      <x:c r="F178" s="2"/>
      <x:c r="G178" s="2"/>
    </x:row>
    <x:row r="179" ht="24" customHeight="1">
      <x:c r="A179" s="2"/>
      <x:c r="B179" s="2"/>
      <x:c r="C179" s="2"/>
      <x:c r="D179" s="2"/>
      <x:c r="E179" s="2"/>
      <x:c r="F179" s="2"/>
      <x:c r="G179" s="2"/>
    </x:row>
    <x:row r="180" ht="24" customHeight="1">
      <x:c r="A180" s="2"/>
      <x:c r="B180" s="2"/>
      <x:c r="C180" s="2"/>
      <x:c r="D180" s="2"/>
      <x:c r="E180" s="2"/>
      <x:c r="F180" s="2"/>
      <x:c r="G180" s="2"/>
    </x:row>
    <x:row r="181" ht="24" customHeight="1">
      <x:c r="A181" s="2"/>
      <x:c r="B181" s="2"/>
      <x:c r="C181" s="2"/>
      <x:c r="D181" s="2"/>
      <x:c r="E181" s="2"/>
      <x:c r="F181" s="2"/>
      <x:c r="G181" s="2"/>
    </x:row>
    <x:row r="182" ht="24" customHeight="1">
      <x:c r="A182" s="2"/>
      <x:c r="B182" s="2"/>
      <x:c r="C182" s="2"/>
      <x:c r="D182" s="2"/>
      <x:c r="E182" s="2"/>
      <x:c r="F182" s="2"/>
      <x:c r="G182" s="2"/>
    </x:row>
    <x:row r="183" ht="24" customHeight="1">
      <x:c r="A183" s="2"/>
      <x:c r="B183" s="2"/>
      <x:c r="C183" s="2"/>
      <x:c r="D183" s="2"/>
      <x:c r="E183" s="2"/>
      <x:c r="F183" s="2"/>
      <x:c r="G183" s="2"/>
    </x:row>
    <x:row r="184" ht="24" customHeight="1">
      <x:c r="A184" s="2"/>
      <x:c r="B184" s="2"/>
      <x:c r="C184" s="2"/>
      <x:c r="D184" s="2"/>
      <x:c r="E184" s="2"/>
      <x:c r="F184" s="2"/>
      <x:c r="G184" s="2"/>
    </x:row>
    <x:row r="185" ht="24" customHeight="1">
      <x:c r="A185" s="2"/>
      <x:c r="B185" s="2"/>
      <x:c r="C185" s="2"/>
      <x:c r="D185" s="2"/>
      <x:c r="E185" s="2"/>
      <x:c r="F185" s="2"/>
      <x:c r="G185" s="2"/>
    </x:row>
    <x:row r="186" ht="24" customHeight="1">
      <x:c r="A186" s="2"/>
      <x:c r="B186" s="2"/>
      <x:c r="C186" s="2"/>
      <x:c r="D186" s="2"/>
      <x:c r="E186" s="2"/>
      <x:c r="F186" s="2"/>
      <x:c r="G186" s="2"/>
    </x:row>
    <x:row r="187" ht="24" customHeight="1">
      <x:c r="A187" s="2"/>
      <x:c r="B187" s="2"/>
      <x:c r="C187" s="2"/>
      <x:c r="D187" s="2"/>
      <x:c r="E187" s="2"/>
      <x:c r="F187" s="2"/>
      <x:c r="G187" s="2"/>
    </x:row>
    <x:row r="188" ht="24" customHeight="1">
      <x:c r="A188" s="2"/>
      <x:c r="B188" s="2"/>
      <x:c r="C188" s="2"/>
      <x:c r="D188" s="2"/>
      <x:c r="E188" s="2"/>
      <x:c r="F188" s="2"/>
      <x:c r="G188" s="2"/>
    </x:row>
    <x:row r="189" ht="24" customHeight="1">
      <x:c r="A189" s="2"/>
      <x:c r="B189" s="2"/>
      <x:c r="C189" s="2"/>
      <x:c r="D189" s="2"/>
      <x:c r="E189" s="2"/>
      <x:c r="F189" s="2"/>
      <x:c r="G189" s="2"/>
    </x:row>
    <x:row r="190" ht="24" customHeight="1">
      <x:c r="A190" s="2"/>
      <x:c r="B190" s="2"/>
      <x:c r="C190" s="2"/>
      <x:c r="D190" s="2"/>
      <x:c r="E190" s="2"/>
      <x:c r="F190" s="2"/>
      <x:c r="G190" s="2"/>
    </x:row>
    <x:row r="191" ht="24" customHeight="1">
      <x:c r="A191" s="2"/>
      <x:c r="B191" s="2"/>
      <x:c r="C191" s="2"/>
      <x:c r="D191" s="2"/>
      <x:c r="E191" s="2"/>
      <x:c r="F191" s="2"/>
      <x:c r="G191" s="2"/>
    </x:row>
    <x:row r="192" ht="24" customHeight="1">
      <x:c r="A192" s="2"/>
      <x:c r="B192" s="2"/>
      <x:c r="C192" s="2"/>
      <x:c r="D192" s="2"/>
      <x:c r="E192" s="2"/>
      <x:c r="F192" s="2"/>
      <x:c r="G192" s="2"/>
    </x:row>
    <x:row r="193" ht="24" customHeight="1">
      <x:c r="A193" s="2"/>
      <x:c r="B193" s="2"/>
      <x:c r="C193" s="2"/>
      <x:c r="D193" s="2"/>
      <x:c r="E193" s="2"/>
      <x:c r="F193" s="2"/>
      <x:c r="G193" s="2"/>
    </x:row>
    <x:row r="194" ht="24" customHeight="1">
      <x:c r="A194" s="2"/>
      <x:c r="B194" s="2"/>
      <x:c r="C194" s="2"/>
      <x:c r="D194" s="2"/>
      <x:c r="E194" s="2"/>
      <x:c r="F194" s="2"/>
      <x:c r="G194" s="2"/>
    </x:row>
    <x:row r="195" ht="24" customHeight="1">
      <x:c r="A195" s="2"/>
      <x:c r="B195" s="2"/>
      <x:c r="C195" s="2"/>
      <x:c r="D195" s="2"/>
      <x:c r="E195" s="2"/>
      <x:c r="F195" s="2"/>
      <x:c r="G195" s="2"/>
    </x:row>
    <x:row r="196" ht="24" customHeight="1">
      <x:c r="A196" s="2"/>
      <x:c r="B196" s="2"/>
      <x:c r="C196" s="2"/>
      <x:c r="D196" s="2"/>
      <x:c r="E196" s="2"/>
      <x:c r="F196" s="2"/>
      <x:c r="G196" s="2"/>
    </x:row>
    <x:row r="197" ht="24" customHeight="1">
      <x:c r="A197" s="2"/>
      <x:c r="B197" s="2"/>
      <x:c r="C197" s="2"/>
      <x:c r="D197" s="2"/>
      <x:c r="E197" s="2"/>
      <x:c r="F197" s="2"/>
      <x:c r="G197" s="2"/>
    </x:row>
    <x:row r="198" ht="24" customHeight="1">
      <x:c r="A198" s="2"/>
      <x:c r="B198" s="2"/>
      <x:c r="C198" s="2"/>
      <x:c r="D198" s="2"/>
      <x:c r="E198" s="2"/>
      <x:c r="F198" s="2"/>
      <x:c r="G198" s="2"/>
    </x:row>
    <x:row r="199" ht="24" customHeight="1">
      <x:c r="A199" s="2"/>
      <x:c r="B199" s="2"/>
      <x:c r="C199" s="2"/>
      <x:c r="D199" s="2"/>
      <x:c r="E199" s="2"/>
      <x:c r="F199" s="2"/>
      <x:c r="G199" s="2"/>
    </x:row>
    <x:row r="200" ht="24" customHeight="1">
      <x:c r="A200" s="2"/>
      <x:c r="B200" s="2"/>
      <x:c r="C200" s="2"/>
      <x:c r="D200" s="2"/>
      <x:c r="E200" s="2"/>
      <x:c r="F200" s="2"/>
      <x:c r="G200" s="2"/>
    </x:row>
    <x:row r="201" ht="24" customHeight="1">
      <x:c r="A201" s="2"/>
      <x:c r="B201" s="2"/>
      <x:c r="C201" s="2"/>
      <x:c r="D201" s="2"/>
      <x:c r="E201" s="2"/>
      <x:c r="F201" s="2"/>
      <x:c r="G201" s="2"/>
    </x:row>
    <x:row r="202" ht="24" customHeight="1">
      <x:c r="A202" s="2"/>
      <x:c r="B202" s="2"/>
      <x:c r="C202" s="2"/>
      <x:c r="D202" s="2"/>
      <x:c r="E202" s="2"/>
      <x:c r="F202" s="2"/>
      <x:c r="G202" s="2"/>
    </x:row>
    <x:row r="203" ht="24" customHeight="1">
      <x:c r="A203" s="2"/>
      <x:c r="B203" s="2"/>
      <x:c r="C203" s="2"/>
      <x:c r="D203" s="2"/>
      <x:c r="E203" s="2"/>
      <x:c r="F203" s="2"/>
      <x:c r="G203" s="2"/>
    </x:row>
    <x:row r="204" ht="24" customHeight="1">
      <x:c r="A204" s="2"/>
      <x:c r="B204" s="2"/>
      <x:c r="C204" s="2"/>
      <x:c r="D204" s="2"/>
      <x:c r="E204" s="2"/>
      <x:c r="F204" s="2"/>
      <x:c r="G204" s="2"/>
    </x:row>
    <x:row r="205" ht="24" customHeight="1">
      <x:c r="A205" s="2"/>
      <x:c r="B205" s="2"/>
      <x:c r="C205" s="2"/>
      <x:c r="D205" s="2"/>
      <x:c r="E205" s="2"/>
      <x:c r="F205" s="2"/>
      <x:c r="G205" s="2"/>
    </x:row>
    <x:row r="206" ht="24" customHeight="1">
      <x:c r="A206" s="2"/>
      <x:c r="B206" s="2"/>
      <x:c r="C206" s="2"/>
      <x:c r="D206" s="2"/>
      <x:c r="E206" s="2"/>
      <x:c r="F206" s="2"/>
      <x:c r="G206" s="2"/>
    </x:row>
    <x:row r="207" ht="24" customHeight="1">
      <x:c r="A207" s="2"/>
      <x:c r="B207" s="2"/>
      <x:c r="C207" s="2"/>
      <x:c r="D207" s="2"/>
      <x:c r="E207" s="2"/>
      <x:c r="F207" s="2"/>
      <x:c r="G207" s="2"/>
    </x:row>
    <x:row r="208" ht="24" customHeight="1">
      <x:c r="A208" s="2"/>
      <x:c r="B208" s="2"/>
      <x:c r="C208" s="2"/>
      <x:c r="D208" s="2"/>
      <x:c r="E208" s="2"/>
      <x:c r="F208" s="2"/>
      <x:c r="G208" s="2"/>
    </x:row>
    <x:row r="209" ht="24" customHeight="1">
      <x:c r="A209" s="2"/>
      <x:c r="B209" s="2"/>
      <x:c r="C209" s="2"/>
      <x:c r="D209" s="2"/>
      <x:c r="E209" s="2"/>
      <x:c r="F209" s="2"/>
      <x:c r="G209" s="2"/>
    </x:row>
    <x:row r="210" ht="24" customHeight="1">
      <x:c r="A210" s="2"/>
      <x:c r="B210" s="2"/>
      <x:c r="C210" s="2"/>
      <x:c r="D210" s="2"/>
      <x:c r="E210" s="2"/>
      <x:c r="F210" s="2"/>
      <x:c r="G210" s="2"/>
    </x:row>
    <x:row r="211" ht="24" customHeight="1">
      <x:c r="A211" s="2"/>
      <x:c r="B211" s="2"/>
      <x:c r="C211" s="2"/>
      <x:c r="D211" s="2"/>
      <x:c r="E211" s="2"/>
      <x:c r="F211" s="2"/>
      <x:c r="G211" s="2"/>
    </x:row>
    <x:row r="212" ht="24" customHeight="1">
      <x:c r="A212" s="2"/>
      <x:c r="B212" s="2"/>
      <x:c r="C212" s="2"/>
      <x:c r="D212" s="2"/>
      <x:c r="E212" s="2"/>
      <x:c r="F212" s="2"/>
      <x:c r="G212" s="2"/>
    </x:row>
    <x:row r="213" ht="24" customHeight="1">
      <x:c r="A213" s="2"/>
      <x:c r="B213" s="2"/>
      <x:c r="C213" s="2"/>
      <x:c r="D213" s="2"/>
      <x:c r="E213" s="2"/>
      <x:c r="F213" s="2"/>
      <x:c r="G213" s="2"/>
    </x:row>
    <x:row r="214" ht="24" customHeight="1">
      <x:c r="A214" s="2"/>
      <x:c r="B214" s="2"/>
      <x:c r="C214" s="2"/>
      <x:c r="D214" s="2"/>
      <x:c r="E214" s="2"/>
      <x:c r="F214" s="2"/>
      <x:c r="G214" s="2"/>
    </x:row>
    <x:row r="215" ht="24" customHeight="1">
      <x:c r="A215" s="2"/>
      <x:c r="B215" s="2"/>
      <x:c r="C215" s="2"/>
      <x:c r="D215" s="2"/>
      <x:c r="E215" s="2"/>
      <x:c r="F215" s="2"/>
      <x:c r="G215" s="2"/>
    </x:row>
    <x:row r="216" ht="24" customHeight="1">
      <x:c r="A216" s="2"/>
      <x:c r="B216" s="2"/>
      <x:c r="C216" s="2"/>
      <x:c r="D216" s="2"/>
      <x:c r="E216" s="2"/>
      <x:c r="F216" s="2"/>
      <x:c r="G216" s="2"/>
    </x:row>
    <x:row r="217" ht="24" customHeight="1">
      <x:c r="A217" s="2"/>
      <x:c r="B217" s="2"/>
      <x:c r="C217" s="2"/>
      <x:c r="D217" s="2"/>
      <x:c r="E217" s="2"/>
      <x:c r="F217" s="2"/>
      <x:c r="G217" s="2"/>
    </x:row>
    <x:row r="218" ht="24" customHeight="1">
      <x:c r="A218" s="2"/>
      <x:c r="B218" s="2"/>
      <x:c r="C218" s="2"/>
      <x:c r="D218" s="2"/>
      <x:c r="E218" s="2"/>
      <x:c r="F218" s="2"/>
      <x:c r="G218" s="2"/>
    </x:row>
    <x:row r="219" ht="24" customHeight="1">
      <x:c r="A219" s="2"/>
      <x:c r="B219" s="2"/>
      <x:c r="C219" s="2"/>
      <x:c r="D219" s="2"/>
      <x:c r="E219" s="2"/>
      <x:c r="F219" s="2"/>
      <x:c r="G219" s="2"/>
    </x:row>
    <x:row r="220" ht="24" customHeight="1">
      <x:c r="A220" s="2"/>
      <x:c r="B220" s="2"/>
      <x:c r="C220" s="2"/>
      <x:c r="D220" s="2"/>
      <x:c r="E220" s="2"/>
      <x:c r="F220" s="2"/>
      <x:c r="G220" s="2"/>
    </x:row>
    <x:row r="221" ht="24" customHeight="1">
      <x:c r="A221" s="2"/>
      <x:c r="B221" s="2"/>
      <x:c r="C221" s="2"/>
      <x:c r="D221" s="2"/>
      <x:c r="E221" s="2"/>
      <x:c r="F221" s="2"/>
      <x:c r="G221" s="2"/>
    </x:row>
    <x:row r="222" ht="24" customHeight="1">
      <x:c r="A222" s="2"/>
      <x:c r="B222" s="2"/>
      <x:c r="C222" s="2"/>
      <x:c r="D222" s="2"/>
      <x:c r="E222" s="2"/>
      <x:c r="F222" s="2"/>
      <x:c r="G222" s="2"/>
    </x:row>
    <x:row r="223" ht="24" customHeight="1">
      <x:c r="A223" s="2"/>
      <x:c r="B223" s="2"/>
      <x:c r="C223" s="2"/>
      <x:c r="D223" s="2"/>
      <x:c r="E223" s="2"/>
      <x:c r="F223" s="2"/>
      <x:c r="G223" s="2"/>
    </x:row>
    <x:row r="224" ht="24" customHeight="1">
      <x:c r="A224" s="2"/>
      <x:c r="B224" s="2"/>
      <x:c r="C224" s="2"/>
      <x:c r="D224" s="2"/>
      <x:c r="E224" s="2"/>
      <x:c r="F224" s="2"/>
      <x:c r="G224" s="2"/>
    </x:row>
    <x:row r="225" ht="24" customHeight="1">
      <x:c r="A225" s="2"/>
      <x:c r="B225" s="2"/>
      <x:c r="C225" s="2"/>
      <x:c r="D225" s="2"/>
      <x:c r="E225" s="2"/>
      <x:c r="F225" s="2"/>
      <x:c r="G225" s="2"/>
    </x:row>
    <x:row r="226" ht="24" customHeight="1">
      <x:c r="A226" s="2"/>
      <x:c r="B226" s="2"/>
      <x:c r="C226" s="2"/>
      <x:c r="D226" s="2"/>
      <x:c r="E226" s="2"/>
      <x:c r="F226" s="2"/>
      <x:c r="G226" s="2"/>
    </x:row>
    <x:row r="227" ht="24" customHeight="1">
      <x:c r="A227" s="2"/>
      <x:c r="B227" s="2"/>
      <x:c r="C227" s="2"/>
      <x:c r="D227" s="2"/>
      <x:c r="E227" s="2"/>
      <x:c r="F227" s="2"/>
      <x:c r="G227" s="2"/>
    </x:row>
    <x:row r="228" ht="24" customHeight="1">
      <x:c r="A228" s="2"/>
      <x:c r="B228" s="2"/>
      <x:c r="C228" s="2"/>
      <x:c r="D228" s="2"/>
      <x:c r="E228" s="2"/>
      <x:c r="F228" s="2"/>
      <x:c r="G228" s="2"/>
    </x:row>
    <x:row r="229" ht="24" customHeight="1">
      <x:c r="A229" s="2"/>
      <x:c r="B229" s="2"/>
      <x:c r="C229" s="2"/>
      <x:c r="D229" s="2"/>
      <x:c r="E229" s="2"/>
      <x:c r="F229" s="2"/>
      <x:c r="G229" s="2"/>
    </x:row>
    <x:row r="230" ht="24" customHeight="1">
      <x:c r="A230" s="2"/>
      <x:c r="B230" s="2"/>
      <x:c r="C230" s="2"/>
      <x:c r="D230" s="2"/>
      <x:c r="E230" s="2"/>
      <x:c r="F230" s="2"/>
      <x:c r="G230" s="2"/>
    </x:row>
  </x:sheetData>
  <x:dataValidations count="1">
    <x:dataValidation type="list" sqref="G8:G145">
      <x:formula1>"Pendiente,En curso,Completada,No aplica"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57" hidden="0" customWidth="1"/>
    <x:col min="2" max="2" width="18" hidden="0" customWidth="1"/>
    <x:col min="3" max="3" width="17" hidden="0" customWidth="1"/>
    <x:col min="4" max="4" width="21" hidden="0" customWidth="1"/>
    <x:col min="5" max="5" width="100" hidden="0" customWidth="1"/>
    <x:col min="6" max="6" width="64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Fuentes y límites del plan</x:v>
      </x:c>
      <x:c r="B2" s="2"/>
      <x:c r="C2" s="2"/>
      <x:c r="D2" s="2"/>
      <x:c r="E2" s="2"/>
      <x:c r="F2" s="2"/>
    </x:row>
    <x:row r="3" ht="24" customHeight="1">
      <x:c r="A3" s="4"/>
      <x:c r="B3" s="4"/>
      <x:c r="C3" s="4"/>
      <x:c r="D3" s="4"/>
      <x:c r="E3" s="4"/>
      <x:c r="F3" s="4"/>
    </x:row>
    <x:row r="4" ht="24" customHeight="1">
      <x:c r="A4" s="5" t="str">
        <x:v>Normas contrastadas el 10/10/2026; verificar aplicabilidad y cambios al ejecutar cada caso.</x:v>
      </x:c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24" customHeight="1">
      <x:c r="A6" s="2"/>
      <x:c r="B6" s="2"/>
      <x:c r="C6" s="2"/>
      <x:c r="D6" s="2"/>
      <x:c r="E6" s="2"/>
      <x:c r="F6" s="2"/>
    </x:row>
    <x:row r="7" ht="34" customHeight="1">
      <x:c r="A7" s="9" t="str">
        <x:v>Referencia</x:v>
      </x:c>
      <x:c r="B7" s="9" t="str">
        <x:v>Materia</x:v>
      </x:c>
      <x:c r="C7" s="9" t="str">
        <x:v>Publicación</x:v>
      </x:c>
      <x:c r="D7" s="9" t="str">
        <x:v>Vigencia calculada</x:v>
      </x:c>
      <x:c r="E7" s="9" t="str">
        <x:v>Fuente oficial</x:v>
      </x:c>
      <x:c r="F7" s="9" t="str">
        <x:v>Nota</x:v>
      </x:c>
    </x:row>
    <x:row r="8" ht="24" customHeight="1">
      <x:c r="A8" s="2" t="str">
        <x:v>Decreto 160/2026 · Actividades no autorizadas o condicionadas</x:v>
      </x:c>
      <x:c r="B8" s="2" t="str">
        <x:v>alcance</x:v>
      </x:c>
      <x:c r="C8" s="13" t="d">
        <x:v>2026-07-28T00:00:00.000Z</x:v>
      </x:c>
      <x:c r="D8" s="13" t="d">
        <x:v>2026-08-04T00:00:00.000Z</x:v>
      </x:c>
      <x:c r="E8" s="2" t="str">
        <x:v>https://www.gacetaoficial.gob.cu/sites/default/files/goc-2026-o62.pdf</x:v>
      </x:c>
      <x:c r="F8" s="2" t="str">
        <x:v>fuente oficial revisada</x:v>
      </x:c>
    </x:row>
    <x:row r="9" ht="24" customHeight="1">
      <x:c r="A9" s="2" t="str">
        <x:v>Decreto-Ley 88/2024 · MIPYMES, actualizado en 2026</x:v>
      </x:c>
      <x:c r="B9" s="2" t="str">
        <x:v>actores</x:v>
      </x:c>
      <x:c r="C9" s="13" t="d">
        <x:v>2026-09-07T00:00:00.000Z</x:v>
      </x:c>
      <x:c r="D9" s="13"/>
      <x:c r="E9" s="2" t="str">
        <x:v>https://www.gacetaoficial.gob.cu/sites/default/files/goc-2026-es12.pdf</x:v>
      </x:c>
      <x:c r="F9" s="2" t="str">
        <x:v>modificada · texto concordado identificado</x:v>
      </x:c>
    </x:row>
    <x:row r="10" ht="24" customHeight="1">
      <x:c r="A10" s="2" t="str">
        <x:v>Decreto-Ley 89/2024 · Cooperativas no agropecuarias</x:v>
      </x:c>
      <x:c r="B10" s="2" t="str">
        <x:v>actores</x:v>
      </x:c>
      <x:c r="C10" s="13" t="d">
        <x:v>2026-09-07T00:00:00.000Z</x:v>
      </x:c>
      <x:c r="D10" s="13"/>
      <x:c r="E10" s="2" t="str">
        <x:v>https://www.gacetaoficial.gob.cu/sites/default/files/goc-2026-es12.pdf</x:v>
      </x:c>
      <x:c r="F10" s="2" t="str">
        <x:v>modificada · texto concordado identificado</x:v>
      </x:c>
    </x:row>
    <x:row r="11" ht="24" customHeight="1">
      <x:c r="A11" s="2" t="str">
        <x:v>Decreto-Ley 90/2024 · Trabajo por cuenta propia</x:v>
      </x:c>
      <x:c r="B11" s="2" t="str">
        <x:v>actores</x:v>
      </x:c>
      <x:c r="C11" s="13" t="d">
        <x:v>2026-09-07T00:00:00.000Z</x:v>
      </x:c>
      <x:c r="D11" s="13"/>
      <x:c r="E11" s="2" t="str">
        <x:v>https://www.gacetaoficial.gob.cu/sites/default/files/goc-2026-es12.pdf</x:v>
      </x:c>
      <x:c r="F11" s="2" t="str">
        <x:v>modificada · texto concordado identificado</x:v>
      </x:c>
    </x:row>
    <x:row r="12" ht="24" customHeight="1">
      <x:c r="A12" s="2" t="str">
        <x:v>Decreto-Ley 133/2026 · Reforma de actores económicos</x:v>
      </x:c>
      <x:c r="B12" s="2" t="str">
        <x:v>actores</x:v>
      </x:c>
      <x:c r="C12" s="13" t="d">
        <x:v>2026-09-02T00:00:00.000Z</x:v>
      </x:c>
      <x:c r="D12" s="13" t="d">
        <x:v>2026-09-09T00:00:00.000Z</x:v>
      </x:c>
      <x:c r="E12" s="2" t="str">
        <x:v>https://www.gacetaoficial.gob.cu/sites/default/files/goc-2026-o71_0.pdf</x:v>
      </x:c>
      <x:c r="F12" s="2" t="str">
        <x:v>fuente oficial revisada</x:v>
      </x:c>
    </x:row>
    <x:row r="13" ht="24" customHeight="1">
      <x:c r="A13" s="2" t="str">
        <x:v>Resolución 2/2026 · Creación y transformación de actores</x:v>
      </x:c>
      <x:c r="B13" s="2" t="str">
        <x:v>actores</x:v>
      </x:c>
      <x:c r="C13" s="13" t="d">
        <x:v>2026-09-02T00:00:00.000Z</x:v>
      </x:c>
      <x:c r="D13" s="13" t="d">
        <x:v>2026-09-09T00:00:00.000Z</x:v>
      </x:c>
      <x:c r="E13" s="2" t="str">
        <x:v>https://www.gacetaoficial.gob.cu/sites/default/files/goc-2026-o71_0.pdf</x:v>
      </x:c>
      <x:c r="F13" s="2" t="str">
        <x:v>fuente oficial revisada</x:v>
      </x:c>
    </x:row>
    <x:row r="14" ht="24" customHeight="1">
      <x:c r="A14" s="2" t="str">
        <x:v>Resolución 98/2026 · Aportaciones para constitución</x:v>
      </x:c>
      <x:c r="B14" s="2" t="str">
        <x:v>banca</x:v>
      </x:c>
      <x:c r="C14" s="13" t="d">
        <x:v>2026-09-02T00:00:00.000Z</x:v>
      </x:c>
      <x:c r="D14" s="13" t="d">
        <x:v>2026-09-09T00:00:00.000Z</x:v>
      </x:c>
      <x:c r="E14" s="2" t="str">
        <x:v>https://www.gacetaoficial.gob.cu/sites/default/files/goc-2026-o71_0.pdf</x:v>
      </x:c>
      <x:c r="F14" s="2" t="str">
        <x:v>fuente oficial revisada</x:v>
      </x:c>
    </x:row>
    <x:row r="15" ht="24" customHeight="1">
      <x:c r="A15" s="2" t="str">
        <x:v>Ley 189/2026 · Código de Trabajo</x:v>
      </x:c>
      <x:c r="B15" s="2" t="str">
        <x:v>trabajo</x:v>
      </x:c>
      <x:c r="C15" s="13" t="d">
        <x:v>2026-09-18T00:00:00.000Z</x:v>
      </x:c>
      <x:c r="D15" s="13" t="d">
        <x:v>2026-09-25T00:00:00.000Z</x:v>
      </x:c>
      <x:c r="E15" s="2" t="str">
        <x:v>https://www.gacetaoficial.gob.cu/sites/default/files/goc-2026-o78.pdf</x:v>
      </x:c>
      <x:c r="F15" s="2" t="str">
        <x:v>fuente oficial revisada</x:v>
      </x:c>
    </x:row>
    <x:row r="16" ht="24" customHeight="1">
      <x:c r="A16" s="2" t="str">
        <x:v>Decreto 179/2026 · Contravenciones de trabajo y seguridad social</x:v>
      </x:c>
      <x:c r="B16" s="2" t="str">
        <x:v>trabajo</x:v>
      </x:c>
      <x:c r="C16" s="13" t="d">
        <x:v>2026-09-18T00:00:00.000Z</x:v>
      </x:c>
      <x:c r="D16" s="13" t="d">
        <x:v>2026-09-25T00:00:00.000Z</x:v>
      </x:c>
      <x:c r="E16" s="2" t="str">
        <x:v>https://www.gacetaoficial.gob.cu/sites/default/files/goc-2026-o78.pdf</x:v>
      </x:c>
      <x:c r="F16" s="2" t="str">
        <x:v>complementaria identificada · confirmar artículos del caso</x:v>
      </x:c>
    </x:row>
    <x:row r="17" ht="24" customHeight="1">
      <x:c r="A17" s="2" t="str">
        <x:v>Resolución 57/2026 · Gestión de seguridad y salud en el trabajo</x:v>
      </x:c>
      <x:c r="B17" s="2" t="str">
        <x:v>sst</x:v>
      </x:c>
      <x:c r="C17" s="13" t="d">
        <x:v>2026-09-18T00:00:00.000Z</x:v>
      </x:c>
      <x:c r="D17" s="13" t="d">
        <x:v>2026-09-25T00:00:00.000Z</x:v>
      </x:c>
      <x:c r="E17" s="2" t="str">
        <x:v>https://www.gacetaoficial.gob.cu/sites/default/files/goc-2026-o78.pdf</x:v>
      </x:c>
      <x:c r="F17" s="2" t="str">
        <x:v>fuente oficial revisada</x:v>
      </x:c>
    </x:row>
    <x:row r="18" ht="24" customHeight="1">
      <x:c r="A18" s="2" t="str">
        <x:v>Ley 113/2012 · Sistema Tributario, concordada en 2026</x:v>
      </x:c>
      <x:c r="B18" s="2" t="str">
        <x:v>tributos</x:v>
      </x:c>
      <x:c r="C18" s="13" t="d">
        <x:v>2026-01-12T00:00:00.000Z</x:v>
      </x:c>
      <x:c r="D18" s="13"/>
      <x:c r="E18" s="2" t="str">
        <x:v>https://www.gacetaoficial.gob.cu/es/ley-113-de-2012-de-asamblea-nacional-del-poder-popular-1</x:v>
      </x:c>
      <x:c r="F18" s="2" t="str">
        <x:v>texto concordado identificado · régimen por confirmar</x:v>
      </x:c>
    </x:row>
    <x:row r="19" ht="24" customHeight="1">
      <x:c r="A19" s="2" t="str">
        <x:v>Decreto 308/2012 · Procedimientos tributarios</x:v>
      </x:c>
      <x:c r="B19" s="2" t="str">
        <x:v>tributos</x:v>
      </x:c>
      <x:c r="C19" s="13" t="d">
        <x:v>2026-01-12T00:00:00.000Z</x:v>
      </x:c>
      <x:c r="D19" s="13"/>
      <x:c r="E19" s="2" t="str">
        <x:v>https://www.gacetaoficial.gob.cu/es/gaceta-oficial-no-1-edicion-especial-de-2026</x:v>
      </x:c>
      <x:c r="F19" s="2" t="str">
        <x:v>texto concordado identificado · artículos por confirmar</x:v>
      </x:c>
    </x:row>
    <x:row r="20" ht="24" customHeight="1">
      <x:c r="A20" s="2" t="str">
        <x:v>Resolución 60/2011 · Normas del Sistema de Control Interno</x:v>
      </x:c>
      <x:c r="B20" s="2" t="str">
        <x:v>control</x:v>
      </x:c>
      <x:c r="C20" s="13" t="d">
        <x:v>2011-03-03T00:00:00.000Z</x:v>
      </x:c>
      <x:c r="D20" s="13"/>
      <x:c r="E20" s="2" t="str">
        <x:v>https://www.gacetaoficial.gob.cu/es/resolucion-60-de-2011-de-contraloria-general-de-la-republica</x:v>
      </x:c>
      <x:c r="F20" s="2" t="str">
        <x:v>ficha oficial revisada · aplicabilidad por confirmar</x:v>
      </x:c>
    </x:row>
    <x:row r="21" ht="24" customHeight="1">
      <x:c r="A21" s="2" t="str">
        <x:v>Ley 149/2022 · Protección de Datos Personales</x:v>
      </x:c>
      <x:c r="B21" s="2" t="str">
        <x:v>datos</x:v>
      </x:c>
      <x:c r="C21" s="13" t="d">
        <x:v>2022-08-25T00:00:00.000Z</x:v>
      </x:c>
      <x:c r="D21" s="13"/>
      <x:c r="E21" s="2" t="str">
        <x:v>https://www.gacetaoficial.gob.cu/es/ley-149-de-2022-de-asamblea-nacional-del-poder-popular</x:v>
      </x:c>
      <x:c r="F21" s="2" t="str">
        <x:v>ficha oficial revisada · artículos por confirmar</x:v>
      </x:c>
    </x:row>
    <x:row r="22" ht="24" customHeight="1">
      <x:c r="A22" s="2" t="str">
        <x:v>Resolución 58/2022 · Seguridad de datos electrónicos</x:v>
      </x:c>
      <x:c r="B22" s="2" t="str">
        <x:v>datos</x:v>
      </x:c>
      <x:c r="C22" s="13" t="d">
        <x:v>2022-08-25T00:00:00.000Z</x:v>
      </x:c>
      <x:c r="D22" s="13"/>
      <x:c r="E22" s="2" t="str">
        <x:v>https://www.gacetaoficial.gob.cu/es/gaceta-oficial-no-90-ordinaria-de-2022</x:v>
      </x:c>
      <x:c r="F22" s="2" t="str">
        <x:v>complementaria identificada · artículos por confirmar</x:v>
      </x:c>
    </x:row>
    <x:row r="23" ht="24" customHeight="1">
      <x:c r="A23" s="2"/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24" customHeight="1">
      <x:c r="A25" s="2" t="str">
        <x:v>Catálogo: 143 Servicios – Oficina Inteligente y catálogo ajustado aportados por el usuario; S144 amplía nuevos actores.</x:v>
      </x:c>
      <x:c r="B25" s="2"/>
      <x:c r="C25" s="2"/>
      <x:c r="D25" s="2"/>
      <x:c r="E25" s="2"/>
      <x:c r="F25" s="2"/>
    </x:row>
    <x:row r="26" ht="24" customHeight="1">
      <x:c r="A26" s="2"/>
      <x:c r="B26" s="2"/>
      <x:c r="C26" s="2"/>
      <x:c r="D26" s="2"/>
      <x:c r="E26" s="2"/>
      <x:c r="F26" s="2"/>
    </x:row>
    <x:row r="27" ht="24" customHeight="1">
      <x:c r="A27" s="2"/>
      <x:c r="B27" s="2"/>
      <x:c r="C27" s="2"/>
      <x:c r="D27" s="2"/>
      <x:c r="E27" s="2"/>
      <x:c r="F27" s="2"/>
    </x:row>
    <x:row r="28" ht="24" customHeight="1">
      <x:c r="A28" s="2"/>
      <x:c r="B28" s="2"/>
      <x:c r="C28" s="2"/>
      <x:c r="D28" s="2"/>
      <x:c r="E28" s="2"/>
      <x:c r="F28" s="2"/>
    </x:row>
  </x:sheetData>
  <x:pageMargins left="0.7" right="0.7" top="0.75" bottom="0.75" header="0.3" footer="0.3"/>
</x:worksheet>
</file>